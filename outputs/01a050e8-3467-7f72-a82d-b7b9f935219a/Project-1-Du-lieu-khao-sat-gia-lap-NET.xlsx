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sheets/sheet2.xml" ContentType="application/vnd.openxmlformats-officedocument.spreadsheetml.worksheet+xml"/>
  <Override PartName="/xl/tables/table3.xml" ContentType="application/vnd.openxmlformats-officedocument.spreadsheetml.table+xml"/>
  <Override PartName="/xl/worksheets/sheet3.xml" ContentType="application/vnd.openxmlformats-officedocument.spreadsheetml.worksheet+xml"/>
  <Override PartName="/xl/comments1.xml" ContentType="application/vnd.openxmlformats-officedocument.spreadsheetml.comments+xml"/>
  <Override PartName="/xl/threadedcomments/threadedcomment.xml" ContentType="application/vnd.ms-excel.threadedcomments+xml"/>
  <Override PartName="/xl/drawings/drawing1.xml" ContentType="application/vnd.openxmlformats-officedocument.drawing+xml"/>
  <Override PartName="/xl/drawings/charts/chart1.xml" ContentType="application/vnd.openxmlformats-officedocument.drawingml.chart+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worksheets/sheet4.xml" ContentType="application/vnd.openxmlformats-officedocument.spreadsheetml.worksheet+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worksheets/sheet5.xml" ContentType="application/vnd.openxmlformats-officedocument.spreadsheetml.worksheet+xml"/>
  <Override PartName="/xl/tables/table11.xml" ContentType="application/vnd.openxmlformats-officedocument.spreadsheetml.table+xml"/>
  <Override PartName="/xl/tables/table12.xml" ContentType="application/vnd.openxmlformats-officedocument.spreadsheetml.table+xml"/>
  <Override PartName="/xl/worksheets/sheet6.xml" ContentType="application/vnd.openxmlformats-officedocument.spreadsheetml.worksheet+xml"/>
  <Override PartName="/xl/tables/table13.xml" ContentType="application/vnd.openxmlformats-officedocument.spreadsheetml.table+xml"/>
  <Override PartName="/xl/worksheets/sheet7.xml" ContentType="application/vnd.openxmlformats-officedocument.spreadsheetml.worksheet+xml"/>
  <Override PartName="/xl/tables/table14.xml" ContentType="application/vnd.openxmlformats-officedocument.spreadsheetml.table+xml"/>
  <Override PartName="/xl/tables/table15.xml" ContentType="application/vnd.openxmlformats-officedocument.spreadsheetml.table+xml"/>
  <Override PartName="/xl/worksheets/sheet8.xml" ContentType="application/vnd.openxmlformats-officedocument.spreadsheetml.worksheet+xml"/>
  <Override PartName="/xl/tables/table16.xml" ContentType="application/vnd.openxmlformats-officedocument.spreadsheetml.table+xml"/>
  <Override PartName="/xl/tables/table17.xml" ContentType="application/vnd.openxmlformats-officedocument.spreadsheetml.table+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e5b08d13a65e4a66" /></Relationships>
</file>

<file path=xl/workbook.xml><?xml version="1.0" encoding="utf-8"?>
<x:workbook xmlns:x="http://schemas.openxmlformats.org/spreadsheetml/2006/main">
  <x:sheets>
    <x:sheet xmlns:r="http://schemas.openxmlformats.org/officeDocument/2006/relationships" name="HuongDan" sheetId="1" r:id="R78f7acd4762643ae"/>
    <x:sheet xmlns:r="http://schemas.openxmlformats.org/officeDocument/2006/relationships" name="DuLieuGoc" sheetId="2" r:id="R50de8c1c3182433d"/>
    <x:sheet xmlns:r="http://schemas.openxmlformats.org/officeDocument/2006/relationships" name="KetQua" sheetId="3" r:id="R9c7fff113225477c"/>
    <x:sheet xmlns:r="http://schemas.openxmlformats.org/officeDocument/2006/relationships" name="Codebook" sheetId="4" r:id="Re70236f094bf4e63"/>
    <x:sheet xmlns:r="http://schemas.openxmlformats.org/officeDocument/2006/relationships" name="PhongVan" sheetId="5" r:id="R0721af7df2b346da"/>
    <x:sheet xmlns:r="http://schemas.openxmlformats.org/officeDocument/2006/relationships" name="DonHang" sheetId="6" r:id="R6cf9789626184fe3"/>
    <x:sheet xmlns:r="http://schemas.openxmlformats.org/officeDocument/2006/relationships" name="DongHang" sheetId="7" r:id="Re33e3634e0434ca2"/>
    <x:sheet xmlns:r="http://schemas.openxmlformats.org/officeDocument/2006/relationships" name="ChungTuKho" sheetId="8" r:id="R0f48033549674c3d"/>
  </x:sheets>
</x:workbook>
</file>

<file path=xl/comments1.xml><?xml version="1.0" encoding="utf-8"?>
<x:comments xmlns:x="http://schemas.openxmlformats.org/spreadsheetml/2006/main">
  <x:authors>
    <x:author>tc={6883B47E-25B4-452C-B652-22418ED7219D}</x:author>
  </x:authors>
  <x:commentList>
    <x:comment ref="E73" authorId="0">
      <x:text>
        <x:r>
          <x:t>[Threaded comment]
Your version of Excel allows you to read this threaded comment; however, any edits to it will get removed if the file is opened in a newer version of Excel. Learn more: https://go.microsoft.com/fwlink/?linkid=870924
Comment:
    Q11 chỉ tính phiếu hợp lệ có Q10=yes (đã bỏ dở) và đã trả lời Q11. Người không được hỏi có ô trống, không phải số 0.</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0"/>
    <x:numFmt numFmtId="201" formatCode="0"/>
    <x:numFmt numFmtId="202" formatCode="@"/>
    <x:numFmt numFmtId="203" formatCode="#,##0"/>
    <x:numFmt numFmtId="204" formatCode="0.0%"/>
  </x:numFmts>
  <x:fonts count="8">
    <x:font>
      <x:sz val="11"/>
      <x:name val="Carlito"/>
    </x:font>
    <x:font>
      <x:sz val="11"/>
      <x:color rgb="FF183642"/>
      <x:name val="Calibri"/>
    </x:font>
    <x:font>
      <x:b/>
      <x:sz val="18"/>
      <x:color rgb="FFFFFFFF"/>
      <x:name val="Calibri"/>
    </x:font>
    <x:font>
      <x:b/>
      <x:sz val="11"/>
      <x:color rgb="FFFFFFFF"/>
      <x:name val="Calibri"/>
    </x:font>
    <x:font>
      <x:sz val="11"/>
      <x:color rgb="FF245CA6"/>
      <x:name val="Calibri"/>
    </x:font>
    <x:font>
      <x:b/>
      <x:sz val="10"/>
      <x:color rgb="FFFFFFFF"/>
      <x:name val="Calibri"/>
    </x:font>
    <x:font>
      <x:sz val="11"/>
      <x:color rgb="FF245CA6"/>
      <x:name val="Carlito"/>
    </x:font>
    <x:font>
      <x:sz val="11"/>
      <x:color rgb="FF183642"/>
      <x:name val="Carlito"/>
    </x:font>
  </x:fonts>
  <x:fills count="6">
    <x:fill>
      <x:patternFill patternType="none"/>
    </x:fill>
    <x:fill>
      <x:patternFill patternType="gray125"/>
    </x:fill>
    <x:fill>
      <x:patternFill patternType="solid">
        <x:fgColor rgb="FF173C4B"/>
      </x:patternFill>
    </x:fill>
    <x:fill>
      <x:patternFill patternType="solid">
        <x:fgColor rgb="FFFFF1CD"/>
      </x:patternFill>
    </x:fill>
    <x:fill>
      <x:patternFill patternType="solid">
        <x:fgColor rgb="FF146B68"/>
      </x:patternFill>
    </x:fill>
    <x:fill>
      <x:patternFill patternType="solid">
        <x:fgColor rgb="FFF1F6F7"/>
      </x:patternFill>
    </x:fill>
  </x:fills>
  <x:borders count="1">
    <x:border/>
  </x:borders>
  <x:cellStyleXfs count="1">
    <x:xf numFmtId="0" fontId="0" fillId="0" borderId="0"/>
  </x:cellStyleXfs>
  <x:cellXfs count="53">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2" fillId="2" borderId="0" xfId="0" applyNumberFormat="1" applyFont="1" applyFill="1" applyBorder="1" applyAlignment="1">
      <x:alignment vertical="center"/>
    </x:xf>
    <x:xf numFmtId="0" fontId="1" fillId="3" borderId="0" xfId="0" applyNumberFormat="1" applyFont="1" applyFill="1" applyBorder="1" applyAlignment="1">
      <x:alignment vertical="center"/>
    </x:xf>
    <x:xf numFmtId="0" fontId="1" fillId="3" borderId="0" xfId="0" applyNumberFormat="1" applyFont="1" applyFill="1" applyBorder="1" applyAlignment="1">
      <x:alignment vertical="center" wrapText="1"/>
    </x:xf>
    <x:xf numFmtId="0" fontId="1" fillId="4" borderId="0" xfId="0" applyNumberFormat="1" applyFont="1" applyFill="1" applyBorder="1" applyAlignment="1">
      <x:alignment vertical="center"/>
    </x:xf>
    <x:xf numFmtId="0" fontId="3" fillId="4" borderId="0" xfId="0" applyNumberFormat="1" applyFont="1" applyFill="1" applyBorder="1" applyAlignment="1">
      <x:alignment vertical="center"/>
    </x:xf>
    <x:xf numFmtId="0" fontId="3" fillId="4" borderId="0" xfId="0" applyNumberFormat="1" applyFont="1" applyFill="1" applyBorder="1" applyAlignment="1">
      <x:alignment vertical="center" wrapText="1"/>
    </x:xf>
    <x:xf numFmtId="0" fontId="4" fillId="0" borderId="0" xfId="0" applyNumberFormat="1" applyFont="1" applyFill="1" applyBorder="1" applyAlignment="1">
      <x:alignment vertical="center"/>
    </x:xf>
    <x:xf numFmtId="0" fontId="4" fillId="0" borderId="0" xfId="0" applyNumberFormat="1" applyFont="1" applyFill="1" applyBorder="1" applyAlignment="1">
      <x:alignment vertical="center" wrapText="1"/>
    </x:xf>
    <x:xf numFmtId="0" fontId="4" fillId="5" borderId="0" xfId="0" applyNumberFormat="1" applyFont="1" applyFill="1" applyBorder="1" applyAlignment="1">
      <x:alignment vertical="center" wrapText="1"/>
    </x:xf>
    <x:xf numFmtId="0" fontId="5" fillId="4" borderId="0" xfId="0" applyNumberFormat="1" applyFont="1" applyFill="1" applyBorder="1" applyAlignment="1">
      <x:alignment vertical="center" wrapText="1"/>
    </x:xf>
    <x:xf numFmtId="200" fontId="4" fillId="0" borderId="0" xfId="0" applyNumberFormat="1" applyFont="1" applyFill="1" applyBorder="1" applyAlignment="1">
      <x:alignment vertical="center" wrapText="1"/>
    </x:xf>
    <x:xf numFmtId="200" fontId="4" fillId="5" borderId="0" xfId="0" applyNumberFormat="1" applyFont="1" applyFill="1" applyBorder="1" applyAlignment="1">
      <x:alignment vertical="center" wrapText="1"/>
    </x:xf>
    <x:xf numFmtId="201" fontId="4" fillId="0" borderId="0" xfId="0" applyNumberFormat="1" applyFont="1" applyFill="1" applyBorder="1" applyAlignment="1">
      <x:alignment vertical="center" wrapText="1"/>
    </x:xf>
    <x:xf numFmtId="201" fontId="4" fillId="5" borderId="0" xfId="0" applyNumberFormat="1" applyFont="1" applyFill="1" applyBorder="1" applyAlignment="1">
      <x:alignment vertical="center" wrapText="1"/>
    </x:xf>
    <x:xf numFmtId="0" fontId="1" fillId="0" borderId="0" xfId="0" applyNumberFormat="1" applyFont="1" applyFill="1" applyBorder="1" applyAlignment="1">
      <x:alignment vertical="center" wrapText="1"/>
    </x:xf>
    <x:xf numFmtId="0" fontId="1" fillId="5" borderId="0" xfId="0" applyNumberFormat="1" applyFont="1" applyFill="1" applyBorder="1" applyAlignment="1">
      <x:alignment vertical="center" wrapText="1"/>
    </x:xf>
    <x:xf numFmtId="202" fontId="4" fillId="0" borderId="0" xfId="0" applyNumberFormat="1" applyFont="1" applyFill="1" applyBorder="1" applyAlignment="1">
      <x:alignment vertical="center" wrapText="1"/>
    </x:xf>
    <x:xf numFmtId="202" fontId="4" fillId="5" borderId="0" xfId="0" applyNumberFormat="1" applyFont="1" applyFill="1" applyBorder="1" applyAlignment="1">
      <x:alignment vertical="center" wrapText="1"/>
    </x:xf>
    <x:xf numFmtId="202" fontId="1" fillId="0" borderId="0" xfId="0" applyNumberFormat="1" applyFont="1" applyFill="1" applyBorder="1" applyAlignment="1">
      <x:alignment vertical="center" wrapText="1"/>
    </x:xf>
    <x:xf numFmtId="202" fontId="1" fillId="5" borderId="0" xfId="0" applyNumberFormat="1" applyFont="1" applyFill="1" applyBorder="1" applyAlignment="1">
      <x:alignment vertical="center" wrapText="1"/>
    </x:xf>
    <x:xf numFmtId="202" fontId="1" fillId="0" borderId="0" xfId="0" applyNumberFormat="1" applyFont="1" applyFill="1" applyBorder="1" applyAlignment="1">
      <x:alignment horizontal="center" vertical="center" wrapText="1"/>
    </x:xf>
    <x:xf numFmtId="202" fontId="1" fillId="5" borderId="0" xfId="0" applyNumberFormat="1" applyFont="1" applyFill="1" applyBorder="1" applyAlignment="1">
      <x:alignment horizontal="center" vertical="center" wrapText="1"/>
    </x:xf>
    <x:xf numFmtId="203" fontId="4" fillId="0" borderId="0" xfId="0" applyNumberFormat="1" applyFont="1" applyFill="1" applyBorder="1" applyAlignment="1">
      <x:alignment vertical="center" wrapText="1"/>
    </x:xf>
    <x:xf numFmtId="203" fontId="4" fillId="5" borderId="0" xfId="0" applyNumberFormat="1" applyFont="1" applyFill="1" applyBorder="1" applyAlignment="1">
      <x:alignment vertical="center" wrapText="1"/>
    </x:xf>
    <x:xf numFmtId="203" fontId="1" fillId="0" borderId="0" xfId="0" applyNumberFormat="1" applyFont="1" applyFill="1" applyBorder="1" applyAlignment="1">
      <x:alignment vertical="center" wrapText="1"/>
    </x:xf>
    <x:xf numFmtId="203" fontId="1" fillId="5" borderId="0" xfId="0" applyNumberFormat="1" applyFont="1" applyFill="1" applyBorder="1" applyAlignment="1">
      <x:alignment vertical="center" wrapText="1"/>
    </x:xf>
    <x:xf numFmtId="204" fontId="1" fillId="0" borderId="0" xfId="0" applyNumberFormat="1" applyFont="1" applyFill="1" applyBorder="1" applyAlignment="1">
      <x:alignment vertical="center" wrapText="1"/>
    </x:xf>
    <x:xf numFmtId="204" fontId="1" fillId="5" borderId="0" xfId="0" applyNumberFormat="1" applyFont="1" applyFill="1" applyBorder="1" applyAlignment="1">
      <x:alignment vertical="center" wrapText="1"/>
    </x:xf>
    <x:xf numFmtId="0" fontId="1" fillId="0" borderId="0" xfId="0" applyNumberFormat="1" applyFont="1" applyFill="1" applyBorder="1" applyAlignment="1">
      <x:alignment horizontal="center" vertical="center" wrapText="1"/>
    </x:xf>
    <x:xf numFmtId="0" fontId="1" fillId="5" borderId="0" xfId="0" applyNumberFormat="1" applyFont="1" applyFill="1" applyBorder="1" applyAlignment="1">
      <x:alignment horizontal="center" vertical="center" wrapText="1"/>
    </x:xf>
    <x:xf numFmtId="204" fontId="1" fillId="0" borderId="0" xfId="0" applyNumberFormat="1" applyFont="1" applyFill="1" applyBorder="1" applyAlignment="1">
      <x:alignment vertical="center"/>
    </x:xf>
    <x:xf numFmtId="0" fontId="6" fillId="0" borderId="0" xfId="0" applyNumberFormat="1" applyFont="1" applyFill="1" applyBorder="1"/>
    <x:xf numFmtId="0" fontId="6" fillId="0" borderId="0" xfId="0" applyNumberFormat="1" applyFont="1" applyFill="1" applyBorder="1" applyAlignment="1">
      <x:alignment wrapText="1"/>
    </x:xf>
    <x:xf numFmtId="0" fontId="6" fillId="0" borderId="0" xfId="0" applyNumberFormat="1" applyFont="1" applyFill="1" applyBorder="1" applyAlignment="1">
      <x:alignment vertical="center" wrapText="1"/>
    </x:xf>
    <x:xf numFmtId="0" fontId="6" fillId="5" borderId="0" xfId="0" applyNumberFormat="1" applyFont="1" applyFill="1" applyBorder="1" applyAlignment="1">
      <x:alignment vertical="center" wrapText="1"/>
    </x:xf>
    <x:xf numFmtId="0" fontId="7" fillId="0" borderId="0" xfId="0" applyNumberFormat="1" applyFont="1" applyFill="1" applyBorder="1" applyAlignment="1">
      <x:alignment vertical="center" wrapText="1"/>
    </x:xf>
    <x:xf numFmtId="0" fontId="7" fillId="5" borderId="0" xfId="0" applyNumberFormat="1" applyFont="1" applyFill="1" applyBorder="1" applyAlignment="1">
      <x:alignment vertical="center" wrapText="1"/>
    </x:xf>
    <x:xf numFmtId="202" fontId="6" fillId="0" borderId="0" xfId="0" applyNumberFormat="1" applyFont="1" applyFill="1" applyBorder="1" applyAlignment="1">
      <x:alignment vertical="center" wrapText="1"/>
    </x:xf>
    <x:xf numFmtId="202" fontId="6" fillId="5" borderId="0" xfId="0" applyNumberFormat="1" applyFont="1" applyFill="1" applyBorder="1" applyAlignment="1">
      <x:alignment vertical="center" wrapText="1"/>
    </x:xf>
    <x:xf numFmtId="202" fontId="7" fillId="0" borderId="0" xfId="0" applyNumberFormat="1" applyFont="1" applyFill="1" applyBorder="1" applyAlignment="1">
      <x:alignment vertical="center" wrapText="1"/>
    </x:xf>
    <x:xf numFmtId="202" fontId="7" fillId="5" borderId="0" xfId="0" applyNumberFormat="1" applyFont="1" applyFill="1" applyBorder="1" applyAlignment="1">
      <x:alignment vertical="center" wrapText="1"/>
    </x:xf>
    <x:xf numFmtId="203" fontId="7" fillId="0" borderId="0" xfId="0" applyNumberFormat="1" applyFont="1" applyFill="1" applyBorder="1" applyAlignment="1">
      <x:alignment vertical="center" wrapText="1"/>
    </x:xf>
    <x:xf numFmtId="203" fontId="6" fillId="0" borderId="0" xfId="0" applyNumberFormat="1" applyFont="1" applyFill="1" applyBorder="1" applyAlignment="1">
      <x:alignment vertical="center" wrapText="1"/>
    </x:xf>
    <x:xf numFmtId="203" fontId="7" fillId="5" borderId="0" xfId="0" applyNumberFormat="1" applyFont="1" applyFill="1" applyBorder="1" applyAlignment="1">
      <x:alignment vertical="center" wrapText="1"/>
    </x:xf>
    <x:xf numFmtId="203" fontId="6" fillId="5" borderId="0" xfId="0" applyNumberFormat="1" applyFont="1" applyFill="1" applyBorder="1" applyAlignment="1">
      <x:alignment vertical="center" wrapText="1"/>
    </x:xf>
    <x:xf numFmtId="202" fontId="7" fillId="0" borderId="0" xfId="0" applyNumberFormat="1" applyFont="1" applyFill="1" applyBorder="1" applyAlignment="1">
      <x:alignment horizontal="center" vertical="center" wrapText="1"/>
    </x:xf>
    <x:xf numFmtId="202" fontId="7" fillId="5" borderId="0" xfId="0" applyNumberFormat="1" applyFont="1" applyFill="1" applyBorder="1" applyAlignment="1">
      <x:alignment horizontal="center" vertical="center" wrapText="1"/>
    </x:xf>
    <x:xf numFmtId="0" fontId="0" fillId="3" borderId="0" xfId="0" applyNumberFormat="1" applyFont="1" applyFill="1" applyBorder="1"/>
    <x:xf numFmtId="0" fontId="0" fillId="3" borderId="0" xfId="0" applyNumberFormat="1" applyFont="1" applyFill="1" applyBorder="1" applyAlignment="1">
      <x:alignment wrapText="1"/>
    </x:xf>
  </x:cellXfs>
  <x:cellStyles count="1">
    <x:cellStyle name="Normal" xfId="0"/>
  </x:cellStyles>
  <x:dxfs count="18">
    <x:dxf>
      <x:font>
        <x:b/>
        <x:color rgb="FF9C2323"/>
      </x:font>
      <x:fill>
        <x:patternFill patternType="solid">
          <x:bgColor rgb="FFFCE4E4"/>
        </x:patternFill>
      </x:fill>
    </x:dxf>
    <x:dxf>
      <x:font>
        <x:color rgb="FF176740"/>
      </x:font>
      <x:fill>
        <x:patternFill patternType="solid">
          <x:bgColor rgb="FFE1F1E8"/>
        </x:patternFill>
      </x:fill>
    </x:dxf>
    <x:dxf>
      <x:font>
        <x:b/>
        <x:color rgb="FF9C2323"/>
      </x:font>
      <x:fill>
        <x:patternFill patternType="solid">
          <x:bgColor rgb="FFFCE4E4"/>
        </x:patternFill>
      </x:fill>
    </x:dxf>
    <x:dxf>
      <x:font>
        <x:color rgb="FF176740"/>
      </x:font>
      <x:fill>
        <x:patternFill patternType="solid">
          <x:bgColor rgb="FFE1F1E8"/>
        </x:patternFill>
      </x:fill>
    </x:dxf>
    <x:dxf>
      <x:font>
        <x:b/>
        <x:color rgb="FF9C2323"/>
      </x:font>
      <x:fill>
        <x:patternFill patternType="solid">
          <x:bgColor rgb="FFFCE4E4"/>
        </x:patternFill>
      </x:fill>
    </x:dxf>
    <x:dxf>
      <x:font>
        <x:color rgb="FF176740"/>
      </x:font>
      <x:fill>
        <x:patternFill patternType="solid">
          <x:bgColor rgb="FFE1F1E8"/>
        </x:patternFill>
      </x:fill>
    </x:dxf>
    <x:dxf>
      <x:font>
        <x:b/>
        <x:color rgb="FF9C2323"/>
      </x:font>
      <x:fill>
        <x:patternFill patternType="solid">
          <x:bgColor rgb="FFFCE4E4"/>
        </x:patternFill>
      </x:fill>
    </x:dxf>
    <x:dxf>
      <x:font>
        <x:color rgb="FF176740"/>
      </x:font>
      <x:fill>
        <x:patternFill patternType="solid">
          <x:bgColor rgb="FFE1F1E8"/>
        </x:patternFill>
      </x:fill>
    </x:dxf>
    <x:dxf>
      <x:font>
        <x:b/>
        <x:color rgb="FF9C2323"/>
      </x:font>
      <x:fill>
        <x:patternFill patternType="solid">
          <x:bgColor rgb="FFFCE4E4"/>
        </x:patternFill>
      </x:fill>
    </x:dxf>
    <x:dxf>
      <x:font>
        <x:color rgb="FF176740"/>
      </x:font>
      <x:fill>
        <x:patternFill patternType="solid">
          <x:bgColor rgb="FFE1F1E8"/>
        </x:patternFill>
      </x:fill>
    </x:dxf>
    <x:dxf>
      <x:font>
        <x:b/>
        <x:color rgb="FF9C2323"/>
      </x:font>
      <x:fill>
        <x:patternFill patternType="solid">
          <x:bgColor rgb="FFFCE4E4"/>
        </x:patternFill>
      </x:fill>
    </x:dxf>
    <x:dxf>
      <x:font>
        <x:color rgb="FF176740"/>
      </x:font>
      <x:fill>
        <x:patternFill patternType="solid">
          <x:bgColor rgb="FFE1F1E8"/>
        </x:patternFill>
      </x:fill>
    </x:dxf>
    <x:dxf>
      <x:font>
        <x:b/>
        <x:color rgb="FF9C2323"/>
      </x:font>
      <x:fill>
        <x:patternFill patternType="solid">
          <x:bgColor rgb="FFFCE4E4"/>
        </x:patternFill>
      </x:fill>
    </x:dxf>
    <x:dxf>
      <x:font>
        <x:color rgb="FF176740"/>
      </x:font>
      <x:fill>
        <x:patternFill patternType="solid">
          <x:bgColor rgb="FFE1F1E8"/>
        </x:patternFill>
      </x:fill>
    </x:dxf>
    <x:dxf>
      <x:font>
        <x:b/>
        <x:color rgb="FF9C2323"/>
      </x:font>
      <x:fill>
        <x:patternFill patternType="solid">
          <x:bgColor rgb="FFFCE4E4"/>
        </x:patternFill>
      </x:fill>
    </x:dxf>
    <x:dxf>
      <x:font>
        <x:color rgb="FF176740"/>
      </x:font>
      <x:fill>
        <x:patternFill patternType="solid">
          <x:bgColor rgb="FFE1F1E8"/>
        </x:patternFill>
      </x:fill>
    </x:dxf>
    <x:dxf>
      <x:font>
        <x:b/>
        <x:color rgb="FF9C2323"/>
      </x:font>
      <x:fill>
        <x:patternFill patternType="solid">
          <x:bgColor rgb="FFFCE4E4"/>
        </x:patternFill>
      </x:fill>
    </x:dxf>
    <x:dxf>
      <x:font>
        <x:color rgb="FF176740"/>
      </x:font>
      <x:fill>
        <x:patternFill patternType="solid">
          <x:bgColor rgb="FFE1F1E8"/>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b5a1976628241ba" /><Relationship Type="http://schemas.openxmlformats.org/officeDocument/2006/relationships/theme" Target="/xl/theme/theme1.xml" Id="R69a9ecad1eae47e4" /><Relationship Type="http://schemas.openxmlformats.org/officeDocument/2006/relationships/sharedStrings" Target="/xl/sharedStrings.xml" Id="Rdc6dff6ba1db42f6" /><Relationship Type="http://schemas.openxmlformats.org/officeDocument/2006/relationships/worksheet" Target="/xl/worksheets/sheet1.xml" Id="R78f7acd4762643ae" /><Relationship Type="http://schemas.openxmlformats.org/officeDocument/2006/relationships/worksheet" Target="/xl/worksheets/sheet2.xml" Id="R50de8c1c3182433d" /><Relationship Type="http://schemas.openxmlformats.org/officeDocument/2006/relationships/worksheet" Target="/xl/worksheets/sheet3.xml" Id="R9c7fff113225477c" /><Relationship Type="http://schemas.openxmlformats.org/officeDocument/2006/relationships/worksheet" Target="/xl/worksheets/sheet4.xml" Id="Re70236f094bf4e63" /><Relationship Type="http://schemas.openxmlformats.org/officeDocument/2006/relationships/worksheet" Target="/xl/worksheets/sheet5.xml" Id="R0721af7df2b346da" /><Relationship Type="http://schemas.openxmlformats.org/officeDocument/2006/relationships/worksheet" Target="/xl/worksheets/sheet6.xml" Id="R6cf9789626184fe3" /><Relationship Type="http://schemas.openxmlformats.org/officeDocument/2006/relationships/worksheet" Target="/xl/worksheets/sheet7.xml" Id="Re33e3634e0434ca2" /><Relationship Type="http://schemas.openxmlformats.org/officeDocument/2006/relationships/worksheet" Target="/xl/worksheets/sheet8.xml" Id="R0f48033549674c3d" /><Relationship Type="http://schemas.microsoft.com/office/2017/10/relationships/person" Target="/xl/persons/person.xml" Id="Re907902ea1e5410a" /></Relationships>
</file>

<file path=xl/drawings/_rels/drawing1.xml.rels>&#65279;<?xml version="1.0" encoding="utf-8"?><Relationships xmlns="http://schemas.openxmlformats.org/package/2006/relationships"><Relationship Type="http://schemas.openxmlformats.org/officeDocument/2006/relationships/chart" Target="/xl/drawings/charts/chart1.xml" Id="Rbd82bef4e8014738"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t>Khó khăn khi mua quần áo · giả lập (%)</a:t>
            </a:r>
          </a:p>
        </c:rich>
      </c:tx>
      <c:overlay val="0"/>
      <c:txPr>
        <a:bodyPr xmlns:a="http://schemas.openxmlformats.org/drawingml/2006/main" anchorCtr="1"/>
        <a:lstStyle xmlns:a="http://schemas.openxmlformats.org/drawingml/2006/main"/>
        <a:p xmlns:a="http://schemas.openxmlformats.org/drawingml/2006/main">
          <a:pPr>
            <a:defRPr sz="900"/>
          </a:pPr>
        </a:p>
      </c:txPr>
    </c:title>
    <c:plotArea>
      <c:barChart>
        <c:barDir val="col"/>
        <c:varyColors val="0"/>
        <c:ser>
          <c:idx val="0"/>
          <c:order val="0"/>
          <c:tx>
            <c:v>Tỷ lệ người chọn</c:v>
          </c:tx>
          <c:spPr>
            <a:solidFill xmlns:a="http://schemas.openxmlformats.org/drawingml/2006/main">
              <a:srgbClr val="146B68"/>
            </a:solidFill>
          </c:spPr>
          <c:cat>
            <c:strRef>
              <c:f>'KetQua'!$A$133:$A$139</c:f>
              <c:strCache>
                <c:ptCount val="0"/>
              </c:strCache>
            </c:strRef>
          </c:cat>
          <c:val>
            <c:numRef>
              <c:f>'KetQua'!$B$133:$B$139</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750"/>
            </a:pPr>
          </a:p>
        </c:txPr>
        <c:crossAx val="48672768"/>
      </c:catAx>
      <c:valAx>
        <c:axId val="48672768"/>
        <c:scaling>
          <c:orientation val="minMax"/>
          <c:max val="1"/>
          <c:min val="0"/>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2</xdr:col>
      <xdr:colOff>0</xdr:colOff>
      <xdr:row>131</xdr:row>
      <xdr:rowOff>0</xdr:rowOff>
    </xdr:from>
    <xdr:to>
      <xdr:col>10</xdr:col>
      <xdr:colOff>0</xdr:colOff>
      <xdr:row>149</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d82bef4e8014738"/>
        </a:graphicData>
      </a:graphic>
    </xdr:graphicFrame>
    <xdr:clientData/>
  </xdr:twoCellAnchor>
</xdr:wsDr>
</file>

<file path=xl/persons/person.xml><?xml version="1.0" encoding="utf-8"?>
<xltc:personList xmlns:xltc="http://schemas.microsoft.com/office/spreadsheetml/2018/threadedcomments">
  <xltc:person displayName="Dũng Lương" id="{28BB12E9-AA52-47C6-83AF-5F017E02B15D}"/>
</xltc:personList>
</file>

<file path=xl/tables/table1.xml><?xml version="1.0" encoding="utf-8"?>
<x:table xmlns:x="http://schemas.openxmlformats.org/spreadsheetml/2006/main" id="16" name="WorkbookGuide" displayName="WorkbookGuide" ref="A5:D24" headerRowCount="1" totalsRowCount="0" totalsRowShown="0">
  <x:autoFilter ref="A5:D24"/>
  <x:tableColumns count="4">
    <x:tableColumn id="1" name="Mục"/>
    <x:tableColumn id="2" name="Nội dung"/>
    <x:tableColumn id="3" name="Cách kiểm tra / nguồn"/>
    <x:tableColumn id="4" name="Nhãn / lưu ý"/>
  </x:tableColumns>
  <x:tableStyleInfo name="TableStyleLight1" showFirstColumn="0" showLastColumn="0" showRowStripes="1" showColumnStripes="0"/>
</x:table>
</file>

<file path=xl/tables/table2.xml><?xml version="1.0" encoding="utf-8"?>
<x:table xmlns:x="http://schemas.openxmlformats.org/spreadsheetml/2006/main" id="17" name="WorkbookChecks" displayName="WorkbookChecks" ref="A27:D40" headerRowCount="1" totalsRowCount="0" totalsRowShown="0">
  <x:autoFilter ref="A27:D40"/>
  <x:tableColumns count="4">
    <x:tableColumn id="1" name="Nội dung kiểm tra"/>
    <x:tableColumn id="2" name="Kết quả tính"/>
    <x:tableColumn id="3" name="Số cần khớp với nguồn"/>
    <x:tableColumn id="4" name="Kết quả đối chiếu"/>
  </x:tableColumns>
  <x:tableStyleInfo name="TableStyleLight1" showFirstColumn="0" showLastColumn="0" showRowStripes="1" showColumnStripes="0"/>
</x:table>
</file>

<file path=xl/tables/table3.xml><?xml version="1.0" encoding="utf-8"?>
<x:table xmlns:x="http://schemas.openxmlformats.org/spreadsheetml/2006/main" id="1" name="SyntheticResponses" displayName="SyntheticResponses" ref="A5:BM149" headerRowCount="1" totalsRowCount="0" totalsRowShown="0">
  <x:autoFilter ref="A5:BM149"/>
  <x:tableColumns count="65">
    <x:tableColumn id="1" name="id&#10;Mã phiếu"/>
    <x:tableColumn id="2" name="evidence_type&#10;Nhãn dữ liệu"/>
    <x:tableColumn id="3" name="day&#10;Ngày giả định"/>
    <x:tableColumn id="4" name="completion_minutes&#10;Thời gian (phút)"/>
    <x:tableColumn id="5" name="eligible&#10;Đủ điều kiện"/>
    <x:tableColumn id="6" name="completed&#10;Đã trả lời xong"/>
    <x:tableColumn id="7" name="status&#10;Kết quả phân loại"/>
    <x:tableColumn id="8" name="exclusion_reason&#10;Lý do loại"/>
    <x:tableColumn id="9" name="duplicate_of&#10;Trùng với phiếu"/>
    <x:tableColumn id="10" name="Q01&#10;Đồng ý tham gia"/>
    <x:tableColumn id="11" name="Q02&#10;Nhóm tuổi"/>
    <x:tableColumn id="12" name="Q03&#10;Đã mua trong 6 tháng"/>
    <x:tableColumn id="13" name="Q04&#10;Khu vực sống"/>
    <x:tableColumn id="14" name="Q05&#10;Tần suất mua"/>
    <x:tableColumn id="15" name="Q06__marketplace&#10;Sàn thương mại điện tử"/>
    <x:tableColumn id="16" name="Q06__social_chat&#10;Mạng xã hội, tin nhắn"/>
    <x:tableColumn id="17" name="Q06__livestream&#10;Buổi bán hàng trực tiếp"/>
    <x:tableColumn id="18" name="Q06__brand_website&#10;Website thương hiệu"/>
    <x:tableColumn id="19" name="Q06__other&#10;Khác"/>
    <x:tableColumn id="20" name="Q06_other&#10;Kênh khác: mô tả"/>
    <x:tableColumn id="21" name="Q07&#10;Khoảng tiền một đơn"/>
    <x:tableColumn id="22" name="Q08__size_uncertain&#10;Không chắc cỡ phù hợp"/>
    <x:tableColumn id="23" name="Q08__photo_mismatch&#10;Hàng khác ảnh hoặc mô tả"/>
    <x:tableColumn id="24" name="Q08__returns_unclear&#10;Đổi trả khó hoặc chưa rõ"/>
    <x:tableColumn id="25" name="Q08__late_total&#10;Phí hoặc tổng tiền xuất hiện muộn"/>
    <x:tableColumn id="26" name="Q08__stock_unclear&#10;Không rõ cỡ, màu còn hàng"/>
    <x:tableColumn id="27" name="Q08__tracking_unclear&#10;Thông tin theo dõi đơn chưa rõ"/>
    <x:tableColumn id="28" name="Q08__payment_concern&#10;Lo ngại thanh toán trực tuyến"/>
    <x:tableColumn id="29" name="Q08__none&#10;Không gặp vấn đề nào"/>
    <x:tableColumn id="30" name="Q08__other&#10;Khác"/>
    <x:tableColumn id="31" name="Q08_other&#10;Khó khăn khác: mô tả"/>
    <x:tableColumn id="32" name="Q09a&#10;Khó khăn lớn nhất"/>
    <x:tableColumn id="33" name="Q09b&#10;Tình huống cụ thể"/>
    <x:tableColumn id="34" name="Q10&#10;Từng bỏ dở đặt hàng"/>
    <x:tableColumn id="35" name="Q11__high_total&#10;Tổng tiền cao hơn dự kiến"/>
    <x:tableColumn id="36" name="Q11__missing_variant&#10;Thiếu cỡ hoặc màu"/>
    <x:tableColumn id="37" name="Q11__complex_flow&#10;Quy trình phức tạp"/>
    <x:tableColumn id="38" name="Q11__forced_account&#10;Bắt buộc tạo tài khoản"/>
    <x:tableColumn id="39" name="Q11__payment_distrust&#10;Không tin tưởng thanh toán"/>
    <x:tableColumn id="40" name="Q11__changed_need&#10;Thay đổi nhu cầu"/>
    <x:tableColumn id="41" name="Q11__technical_error&#10;Lỗi kỹ thuật"/>
    <x:tableColumn id="42" name="Q11__other&#10;Khác"/>
    <x:tableColumn id="43" name="Q11_other&#10;Lý do khác: mô tả"/>
    <x:tableColumn id="44" name="Q12__size_measurements&#10;Số đo, cỡ quần áo"/>
    <x:tableColumn id="45" name="Q12__detail_photos&#10;Ảnh chi tiết"/>
    <x:tableColumn id="46" name="Q12__material&#10;Chất liệu"/>
    <x:tableColumn id="47" name="Q12__variant_stock&#10;Cỡ, màu còn hàng"/>
    <x:tableColumn id="48" name="Q12__final_total&#10;Tổng tiền cuối"/>
    <x:tableColumn id="49" name="Q12__returns_policy&#10;Điều kiện đổi trả"/>
    <x:tableColumn id="50" name="Q12__delivery_estimate&#10;Thời gian giao dự kiến"/>
    <x:tableColumn id="51" name="Q12__buyer_reviews&#10;Đánh giá người mua"/>
    <x:tableColumn id="52" name="Q12__other&#10;Khác"/>
    <x:tableColumn id="53" name="Q12_other&#10;Thông tin khác: mô tả"/>
    <x:tableColumn id="54" name="Q13&#10;Cách thanh toán"/>
    <x:tableColumn id="55" name="Q13_reason&#10;Lý do chọn thanh toán"/>
    <x:tableColumn id="56" name="Q14&#10;Mua không tài khoản"/>
    <x:tableColumn id="57" name="Q15__confirmed&#10;Đơn đã xác nhận"/>
    <x:tableColumn id="58" name="Q15__preparing&#10;Đang chuẩn bị"/>
    <x:tableColumn id="59" name="Q15__handed_over&#10;Đã bàn giao"/>
    <x:tableColumn id="60" name="Q15__tracking_number&#10;Mã vận đơn"/>
    <x:tableColumn id="61" name="Q15__eta&#10;Ngày giao dự kiến"/>
    <x:tableColumn id="62" name="Q15__per_parcel&#10;Trạng thái từng kiện"/>
    <x:tableColumn id="63" name="Q15__failure_and_help&#10;Giao không thành công và cách xử lý"/>
    <x:tableColumn id="64" name="Q16&#10;Sẵn sàng mua"/>
    <x:tableColumn id="65" name="Q17&#10;Mong muốn cải thiện"/>
  </x:tableColumns>
  <x:tableStyleInfo name="TableStyleLight1" showFirstColumn="0" showLastColumn="0" showRowStripes="1" showColumnStripes="0"/>
</x:table>
</file>

<file path=xl/tables/table4.xml><?xml version="1.0" encoding="utf-8"?>
<x:table xmlns:x="http://schemas.openxmlformats.org/spreadsheetml/2006/main" id="5" name="SurveyFunnel" displayName="SurveyFunnel" ref="A5:D12" headerRowCount="1" totalsRowCount="0" totalsRowShown="0">
  <x:autoFilter ref="A5:D12"/>
  <x:tableColumns count="4">
    <x:tableColumn id="1" name="Các bước chọn phiếu"/>
    <x:tableColumn id="2" name="Tính từ dữ liệu"/>
    <x:tableColumn id="3" name="Số trong tệp nguồn"/>
    <x:tableColumn id="4" name="Đối chiếu"/>
  </x:tableColumns>
  <x:tableStyleInfo name="TableStyleLight1" showFirstColumn="0" showLastColumn="0" showRowStripes="1" showColumnStripes="0"/>
</x:table>
</file>

<file path=xl/tables/table5.xml><?xml version="1.0" encoding="utf-8"?>
<x:table xmlns:x="http://schemas.openxmlformats.org/spreadsheetml/2006/main" id="6" name="ExclusionLog" displayName="ExclusionLog" ref="A15:D20" headerRowCount="1" totalsRowCount="0" totalsRowShown="0">
  <x:autoFilter ref="A15:D20"/>
  <x:tableColumns count="4">
    <x:tableColumn id="1" name="Mã lý do loại"/>
    <x:tableColumn id="2" name="Đếm từ phiếu gốc"/>
    <x:tableColumn id="3" name="Số trong tệp nguồn"/>
    <x:tableColumn id="4" name="Đối chiếu"/>
  </x:tableColumns>
  <x:tableStyleInfo name="TableStyleLight1" showFirstColumn="0" showLastColumn="0" showRowStripes="1" showColumnStripes="0"/>
</x:table>
</file>

<file path=xl/tables/table6.xml><?xml version="1.0" encoding="utf-8"?>
<x:table xmlns:x="http://schemas.openxmlformats.org/spreadsheetml/2006/main" id="7" name="RecalculatedResults" displayName="RecalculatedResults" ref="A24:I109" headerRowCount="1" totalsRowCount="0" totalsRowShown="0">
  <x:autoFilter ref="A24:I109"/>
  <x:tableColumns count="9">
    <x:tableColumn id="1" name="Câu hỏi"/>
    <x:tableColumn id="2" name="Mã đáp án gốc"/>
    <x:tableColumn id="3" name="Nội dung"/>
    <x:tableColumn id="4" name="Số người chọn"/>
    <x:tableColumn id="5" name="Số người được hỏi"/>
    <x:tableColumn id="6" name="Tỷ lệ"/>
    <x:tableColumn id="7" name="Số chọn: nguồn"/>
    <x:tableColumn id="8" name="Số được hỏi: nguồn"/>
    <x:tableColumn id="9" name="Đối chiếu"/>
  </x:tableColumns>
  <x:tableStyleInfo name="TableStyleLight1" showFirstColumn="0" showLastColumn="0" showRowStripes="1" showColumnStripes="0"/>
</x:table>
</file>

<file path=xl/tables/table7.xml><?xml version="1.0" encoding="utf-8"?>
<x:table xmlns:x="http://schemas.openxmlformats.org/spreadsheetml/2006/main" id="8" name="CrossTabs" displayName="CrossTabs" ref="A113:I128" headerRowCount="1" totalsRowCount="0" totalsRowShown="0">
  <x:autoFilter ref="A113:I128"/>
  <x:tableColumns count="9">
    <x:tableColumn id="1" name="So sánh theo nhóm"/>
    <x:tableColumn id="2" name="Mã nhóm gốc"/>
    <x:tableColumn id="3" name="Mã kết quả gốc"/>
    <x:tableColumn id="4" name="Số người chọn"/>
    <x:tableColumn id="5" name="Số người trong nhóm"/>
    <x:tableColumn id="6" name="Tỷ lệ trong nhóm"/>
    <x:tableColumn id="7" name="Số chọn: nguồn"/>
    <x:tableColumn id="8" name="Số nhóm: nguồn"/>
    <x:tableColumn id="9" name="Đối chiếu"/>
  </x:tableColumns>
  <x:tableStyleInfo name="TableStyleLight1" showFirstColumn="0" showLastColumn="0" showRowStripes="1" showColumnStripes="0"/>
</x:table>
</file>

<file path=xl/tables/table8.xml><?xml version="1.0" encoding="utf-8"?>
<x:table xmlns:x="http://schemas.openxmlformats.org/spreadsheetml/2006/main" id="2" name="SurveyRules" displayName="SurveyRules" ref="A5:F12" headerRowCount="1" totalsRowCount="0" totalsRowShown="0">
  <x:autoFilter ref="A5:F12"/>
  <x:tableColumns count="6">
    <x:tableColumn id="1" name="Quy tắc"/>
    <x:tableColumn id="2" name="Giá trị"/>
    <x:tableColumn id="3" name="Ý nghĩa"/>
    <x:tableColumn id="4" name="Áp dụng"/>
    <x:tableColumn id="5" name="Nguồn"/>
    <x:tableColumn id="6" name="Nhãn"/>
  </x:tableColumns>
  <x:tableStyleInfo name="TableStyleLight1" showFirstColumn="0" showLastColumn="0" showRowStripes="1" showColumnStripes="0"/>
</x:table>
</file>

<file path=xl/tables/table9.xml><?xml version="1.0" encoding="utf-8"?>
<x:table xmlns:x="http://schemas.openxmlformats.org/spreadsheetml/2006/main" id="3" name="VariableDictionary" displayName="VariableDictionary" ref="A16:F81" headerRowCount="1" totalsRowCount="0" totalsRowShown="0">
  <x:autoFilter ref="A16:F81"/>
  <x:tableColumns count="6">
    <x:tableColumn id="1" name="Cột trong DuLieuGoc"/>
    <x:tableColumn id="2" name="Tên cột gốc"/>
    <x:tableColumn id="3" name="Loại dữ liệu"/>
    <x:tableColumn id="4" name="Nội dung câu hỏi / cột"/>
    <x:tableColumn id="5" name="Mã và ý nghĩa"/>
    <x:tableColumn id="6" name="Cách điền / chọn phiếu"/>
  </x:tableColumns>
  <x:tableStyleInfo name="TableStyleLight1" showFirstColumn="0" showLastColumn="0" showRowStripes="1" showColumnStripes="0"/>
</x:table>
</file>

<file path=xl/tables/table10.xml><?xml version="1.0" encoding="utf-8"?>
<x:table xmlns:x="http://schemas.openxmlformats.org/spreadsheetml/2006/main" id="4" name="PilotScenarios" displayName="PilotScenarios" ref="A85:F95" headerRowCount="1" totalsRowCount="0" totalsRowShown="0">
  <x:autoFilter ref="A85:F95"/>
  <x:tableColumns count="6">
    <x:tableColumn id="1" name="Mã giả lập (SYN)"/>
    <x:tableColumn id="2" name="Nhãn"/>
    <x:tableColumn id="3" name="Tình huống thử phiếu"/>
    <x:tableColumn id="4" name="Vấn đề giả định"/>
    <x:tableColumn id="5" name="Đề xuất điều chỉnh"/>
    <x:tableColumn id="6" name="Kết quả mong đợi"/>
  </x:tableColumns>
  <x:tableStyleInfo name="TableStyleLight1" showFirstColumn="0" showLastColumn="0" showRowStripes="1" showColumnStripes="0"/>
</x:table>
</file>

<file path=xl/tables/table11.xml><?xml version="1.0" encoding="utf-8"?>
<x:table xmlns:x="http://schemas.openxmlformats.org/spreadsheetml/2006/main" id="9" name="InterviewSummary" displayName="InterviewSummary" ref="A5:H17" headerRowCount="1" totalsRowCount="0" totalsRowShown="0">
  <x:autoFilter ref="A5:H17"/>
  <x:tableColumns count="8">
    <x:tableColumn id="1" name="Mã giả lập (SYN)"/>
    <x:tableColumn id="2" name="Ngày giả định"/>
    <x:tableColumn id="3" name="Vai trò"/>
    <x:tableColumn id="4" name="Hồ sơ giả định"/>
    <x:tableColumn id="5" name="Tình huống"/>
    <x:tableColumn id="6" name="Tóm tắt"/>
    <x:tableColumn id="7" name="Số ý kiến"/>
    <x:tableColumn id="8" name="Tệp nguồn"/>
  </x:tableColumns>
  <x:tableStyleInfo name="TableStyleLight1" showFirstColumn="0" showLastColumn="0" showRowStripes="1" showColumnStripes="0"/>
</x:table>
</file>

<file path=xl/tables/table12.xml><?xml version="1.0" encoding="utf-8"?>
<x:table xmlns:x="http://schemas.openxmlformats.org/spreadsheetml/2006/main" id="10" name="InterviewFindings" displayName="InterviewFindings" ref="A21:H69" headerRowCount="1" totalsRowCount="0" totalsRowShown="0">
  <x:autoFilter ref="A21:H69"/>
  <x:tableColumns count="8">
    <x:tableColumn id="1" name="Mã phỏng vấn"/>
    <x:tableColumn id="2" name="Mã ý kiến gốc"/>
    <x:tableColumn id="3" name="Nội dung giả định"/>
    <x:tableColumn id="4" name="Câu nói minh họa"/>
    <x:tableColumn id="5" name="Mức ưu tiên"/>
    <x:tableColumn id="6" name="Yêu cầu liên quan"/>
    <x:tableColumn id="7" name="So với hệ thống hiện tại"/>
    <x:tableColumn id="8" name="Nhãn dữ liệu"/>
  </x:tableColumns>
  <x:tableStyleInfo name="TableStyleLight1" showFirstColumn="0" showLastColumn="0" showRowStripes="1" showColumnStripes="0"/>
</x:table>
</file>

<file path=xl/tables/table13.xml><?xml version="1.0" encoding="utf-8"?>
<x:table xmlns:x="http://schemas.openxmlformats.org/spreadsheetml/2006/main" id="13" name="OrderSnapshots" displayName="OrderSnapshots" ref="A5:R25" headerRowCount="1" totalsRowCount="0" totalsRowShown="0">
  <x:autoFilter ref="A5:R25"/>
  <x:tableColumns count="18">
    <x:tableColumn id="1" name="Mã đơn giả lập"/>
    <x:tableColumn id="2" name="Ngày giả định"/>
    <x:tableColumn id="3" name="Lý do chọn mẫu"/>
    <x:tableColumn id="4" name="Cách thanh toán"/>
    <x:tableColumn id="5" name="Trạng thái đơn"/>
    <x:tableColumn id="6" name="Thanh toán: trên đơn"/>
    <x:tableColumn id="7" name="Thanh toán: bản ghi riêng"/>
    <x:tableColumn id="8" name="Giao hàng: toàn đơn"/>
    <x:tableColumn id="9" name="Tiền hàng (đồng)"/>
    <x:tableColumn id="10" name="Giảm giá (đồng)"/>
    <x:tableColumn id="11" name="Phí giao (đồng)"/>
    <x:tableColumn id="12" name="Tổng tính (đồng)"/>
    <x:tableColumn id="13" name="Tổng nguồn (đồng)"/>
    <x:tableColumn id="14" name="Đối chiếu tiền"/>
    <x:tableColumn id="15" name="Số kiện"/>
    <x:tableColumn id="16" name="Yêu cầu liên quan"/>
    <x:tableColumn id="17" name="Giải thích"/>
    <x:tableColumn id="18" name="Mã giảm giá đã áp"/>
  </x:tableColumns>
  <x:tableStyleInfo name="TableStyleLight1" showFirstColumn="0" showLastColumn="0" showRowStripes="1" showColumnStripes="0"/>
</x:table>
</file>

<file path=xl/tables/table14.xml><?xml version="1.0" encoding="utf-8"?>
<x:table xmlns:x="http://schemas.openxmlformats.org/spreadsheetml/2006/main" id="11" name="OrderLines" displayName="OrderLines" ref="A5:J35" headerRowCount="1" totalsRowCount="0" totalsRowShown="0">
  <x:autoFilter ref="A5:J35"/>
  <x:tableColumns count="10">
    <x:tableColumn id="1" name="Mã đơn giả lập"/>
    <x:tableColumn id="2" name="Mã dòng"/>
    <x:tableColumn id="3" name="Mã hàng (SKU)"/>
    <x:tableColumn id="4" name="Kho"/>
    <x:tableColumn id="5" name="Số lượng"/>
    <x:tableColumn id="6" name="Đơn giá (đồng)"/>
    <x:tableColumn id="7" name="Thành tiền: tính"/>
    <x:tableColumn id="8" name="Thành tiền: nguồn"/>
    <x:tableColumn id="9" name="Đối chiếu"/>
    <x:tableColumn id="10" name="Nhãn"/>
  </x:tableColumns>
  <x:tableStyleInfo name="TableStyleLight1" showFirstColumn="0" showLastColumn="0" showRowStripes="1" showColumnStripes="0"/>
</x:table>
</file>

<file path=xl/tables/table15.xml><?xml version="1.0" encoding="utf-8"?>
<x:table xmlns:x="http://schemas.openxmlformats.org/spreadsheetml/2006/main" id="12" name="ShipmentSnapshots" displayName="ShipmentSnapshots" ref="A39:I69" headerRowCount="1" totalsRowCount="0" totalsRowShown="0">
  <x:autoFilter ref="A39:I69"/>
  <x:tableColumns count="9">
    <x:tableColumn id="1" name="Mã đơn giả lập"/>
    <x:tableColumn id="2" name="Mã phiếu giao"/>
    <x:tableColumn id="3" name="Kho"/>
    <x:tableColumn id="4" name="Trạng thái giao"/>
    <x:tableColumn id="5" name="Hãng giao giả lập"/>
    <x:tableColumn id="6" name="Mã vận đơn giả lập"/>
    <x:tableColumn id="7" name="Lý do"/>
    <x:tableColumn id="8" name="Hàng giữ cho đơn: mã, số lượng, trạng thái"/>
    <x:tableColumn id="9" name="Nhãn"/>
  </x:tableColumns>
  <x:tableStyleInfo name="TableStyleLight1" showFirstColumn="0" showLastColumn="0" showRowStripes="1" showColumnStripes="0"/>
</x:table>
</file>

<file path=xl/tables/table16.xml><?xml version="1.0" encoding="utf-8"?>
<x:table xmlns:x="http://schemas.openxmlformats.org/spreadsheetml/2006/main" id="14" name="InventoryDocs" displayName="InventoryDocs" ref="A5:K15" headerRowCount="1" totalsRowCount="0" totalsRowShown="0">
  <x:autoFilter ref="A5:K15"/>
  <x:tableColumns count="11">
    <x:tableColumn id="1" name="Mã giả lập (SYN)"/>
    <x:tableColumn id="2" name="Ngày giả định"/>
    <x:tableColumn id="3" name="Loại chứng từ"/>
    <x:tableColumn id="4" name="Mã hàng (SKU)"/>
    <x:tableColumn id="5" name="Trạng thái"/>
    <x:tableColumn id="6" name="Vai trò"/>
    <x:tableColumn id="7" name="Lý do"/>
    <x:tableColumn id="8" name="Mã tham chiếu"/>
    <x:tableColumn id="9" name="Số lượng"/>
    <x:tableColumn id="10" name="Yêu cầu liên quan"/>
    <x:tableColumn id="11" name="Giải thích"/>
  </x:tableColumns>
  <x:tableStyleInfo name="TableStyleLight1" showFirstColumn="0" showLastColumn="0" showRowStripes="1" showColumnStripes="0"/>
</x:table>
</file>

<file path=xl/tables/table17.xml><?xml version="1.0" encoding="utf-8"?>
<x:table xmlns:x="http://schemas.openxmlformats.org/spreadsheetml/2006/main" id="15" name="InventoryMovements" displayName="InventoryMovements" ref="A19:Q32" headerRowCount="1" totalsRowCount="0" totalsRowShown="0">
  <x:autoFilter ref="A19:Q32"/>
  <x:tableColumns count="17">
    <x:tableColumn id="1" name="Mã chứng từ"/>
    <x:tableColumn id="2" name="Mã dòng tăng, giảm"/>
    <x:tableColumn id="3" name="Kho"/>
    <x:tableColumn id="4" name="Loại tăng, giảm"/>
    <x:tableColumn id="5" name="Tồn thực tế trước"/>
    <x:tableColumn id="6" name="Tăng (+), giảm (−)"/>
    <x:tableColumn id="7" name="Tồn sau: tính"/>
    <x:tableColumn id="8" name="Tồn sau: nguồn"/>
    <x:tableColumn id="9" name="Đối chiếu tồn"/>
    <x:tableColumn id="10" name="Hàng giữ: trước"/>
    <x:tableColumn id="11" name="Hàng giữ: sau"/>
    <x:tableColumn id="12" name="Chưa giữ: tính"/>
    <x:tableColumn id="13" name="Chưa giữ: nguồn"/>
    <x:tableColumn id="14" name="Mức dự phòng"/>
    <x:tableColumn id="15" name="Sau dự phòng:&#10;tính"/>
    <x:tableColumn id="16" name="Sau dự phòng:&#10;nguồn"/>
    <x:tableColumn id="17" name="Đối chiếu hàng còn"/>
  </x:tableColumns>
  <x:tableStyleInfo name="TableStyleLight1"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threadedcomments/threadedcomment.xml><?xml version="1.0" encoding="utf-8"?>
<xltc:ThreadedComments xmlns:xltc="http://schemas.microsoft.com/office/spreadsheetml/2018/threadedcomments">
  <xltc:threadedComment ref="E73" dT="2026-09-03T02:17:34.914" personId="{28BB12E9-AA52-47C6-83AF-5F017E02B15D}" id="{6883B47E-25B4-452C-B652-22418ED7219D}">
    <xltc:text>Q11 chỉ tính phiếu hợp lệ có Q10=yes (đã bỏ dở) và đã trả lời Q11. Người không được hỏi có ô trống, không phải số 0.</xltc:text>
  </xltc:threadedComment>
</xltc:ThreadedComments>
</file>

<file path=xl/worksheets/_rels/sheet1.xml.rels>&#65279;<?xml version="1.0" encoding="utf-8"?><Relationships xmlns="http://schemas.openxmlformats.org/package/2006/relationships"><Relationship Type="http://schemas.openxmlformats.org/officeDocument/2006/relationships/table" Target="/xl/tables/table1.xml" Id="R8ed30ca7b66f43e2" /><Relationship Type="http://schemas.openxmlformats.org/officeDocument/2006/relationships/table" Target="/xl/tables/table2.xml" Id="Rc06d6488dd344b8c" /></Relationships>
</file>

<file path=xl/worksheets/_rels/sheet2.xml.rels>&#65279;<?xml version="1.0" encoding="utf-8"?><Relationships xmlns="http://schemas.openxmlformats.org/package/2006/relationships"><Relationship Type="http://schemas.openxmlformats.org/officeDocument/2006/relationships/table" Target="/xl/tables/table3.xml" Id="R28b2314ea78f4cd4" /></Relationships>
</file>

<file path=xl/worksheets/_rels/sheet3.xml.rels>&#65279;<?xml version="1.0" encoding="utf-8"?><Relationships xmlns="http://schemas.openxmlformats.org/package/2006/relationships"><Relationship Type="http://schemas.openxmlformats.org/officeDocument/2006/relationships/comments" Target="/xl/comments1.xml" Id="Rb94edc07548f46e2" /><Relationship Type="http://schemas.openxmlformats.org/officeDocument/2006/relationships/vmlDrawing" Target="/xl/drawings/vmldrawing.vml" Id="Ra311a45fa24c47cb" /><Relationship Type="http://schemas.microsoft.com/office/2017/10/relationships/threadedComment" Target="/xl/threadedcomments/threadedcomment.xml" Id="R01f8ecbee4264736" /><Relationship Type="http://schemas.openxmlformats.org/officeDocument/2006/relationships/drawing" Target="/xl/drawings/drawing1.xml" Id="R906dccc1e6294fa8" /><Relationship Type="http://schemas.openxmlformats.org/officeDocument/2006/relationships/table" Target="/xl/tables/table4.xml" Id="Re15c92383f9a4dd6" /><Relationship Type="http://schemas.openxmlformats.org/officeDocument/2006/relationships/table" Target="/xl/tables/table5.xml" Id="R46551ef1e6054e17" /><Relationship Type="http://schemas.openxmlformats.org/officeDocument/2006/relationships/table" Target="/xl/tables/table6.xml" Id="R4fbc6786cfa84e59" /><Relationship Type="http://schemas.openxmlformats.org/officeDocument/2006/relationships/table" Target="/xl/tables/table7.xml" Id="R2086f9df964143c1" /></Relationships>
</file>

<file path=xl/worksheets/_rels/sheet4.xml.rels>&#65279;<?xml version="1.0" encoding="utf-8"?><Relationships xmlns="http://schemas.openxmlformats.org/package/2006/relationships"><Relationship Type="http://schemas.openxmlformats.org/officeDocument/2006/relationships/table" Target="/xl/tables/table8.xml" Id="R0f8be57cce1446f9" /><Relationship Type="http://schemas.openxmlformats.org/officeDocument/2006/relationships/table" Target="/xl/tables/table9.xml" Id="R95399fe6b8c349f8" /><Relationship Type="http://schemas.openxmlformats.org/officeDocument/2006/relationships/table" Target="/xl/tables/table10.xml" Id="R2de353590688414b" /></Relationships>
</file>

<file path=xl/worksheets/_rels/sheet5.xml.rels>&#65279;<?xml version="1.0" encoding="utf-8"?><Relationships xmlns="http://schemas.openxmlformats.org/package/2006/relationships"><Relationship Type="http://schemas.openxmlformats.org/officeDocument/2006/relationships/table" Target="/xl/tables/table11.xml" Id="R192eb034011e450e" /><Relationship Type="http://schemas.openxmlformats.org/officeDocument/2006/relationships/table" Target="/xl/tables/table12.xml" Id="R62c7a25418b9433c" /></Relationships>
</file>

<file path=xl/worksheets/_rels/sheet6.xml.rels>&#65279;<?xml version="1.0" encoding="utf-8"?><Relationships xmlns="http://schemas.openxmlformats.org/package/2006/relationships"><Relationship Type="http://schemas.openxmlformats.org/officeDocument/2006/relationships/table" Target="/xl/tables/table13.xml" Id="R501b49fe5f794d2c" /></Relationships>
</file>

<file path=xl/worksheets/_rels/sheet7.xml.rels>&#65279;<?xml version="1.0" encoding="utf-8"?><Relationships xmlns="http://schemas.openxmlformats.org/package/2006/relationships"><Relationship Type="http://schemas.openxmlformats.org/officeDocument/2006/relationships/table" Target="/xl/tables/table14.xml" Id="R56393057c1964cd5" /><Relationship Type="http://schemas.openxmlformats.org/officeDocument/2006/relationships/table" Target="/xl/tables/table15.xml" Id="Ra3fc2c40e0254533" /></Relationships>
</file>

<file path=xl/worksheets/_rels/sheet8.xml.rels>&#65279;<?xml version="1.0" encoding="utf-8"?><Relationships xmlns="http://schemas.openxmlformats.org/package/2006/relationships"><Relationship Type="http://schemas.openxmlformats.org/officeDocument/2006/relationships/table" Target="/xl/tables/table16.xml" Id="R84a2e199302d4400" /><Relationship Type="http://schemas.openxmlformats.org/officeDocument/2006/relationships/table" Target="/xl/tables/table17.xml" Id="R8d6e7064ca3a4043" /></Relationships>
</file>

<file path=xl/worksheets/sheet1.xml><?xml version="1.0" encoding="utf-8"?>
<x:worksheet xmlns:x="http://schemas.openxmlformats.org/spreadsheetml/2006/main">
  <x:sheetViews>
    <x:sheetView showGridLines="0" workbookViewId="0"/>
  </x:sheetViews>
  <x:sheetFormatPr defaultRowHeight="15"/>
  <x:cols>
    <x:col min="1" max="1" width="28" hidden="0" customWidth="1"/>
    <x:col min="2" max="2" width="64" hidden="0" customWidth="1"/>
    <x:col min="3" max="3" width="62" hidden="0" customWidth="1"/>
    <x:col min="4" max="4" width="34" hidden="0" customWidth="1"/>
  </x:cols>
  <x:sheetData>
    <x:row r="1" ht="38" customHeight="1">
      <x:c r="A1" s="4" t="str">
        <x:v>PROJECT 1 · DỮ LIỆU GIẢ LẬP</x:v>
      </x:c>
      <x:c r="B1" s="4"/>
      <x:c r="C1" s="4"/>
      <x:c r="D1" s="4"/>
    </x:row>
    <x:row r="2" ht="24" customHeight="1">
      <x:c r="A2" s="6" t="str">
        <x:v>SYN = dữ liệu giả lập. Toàn bộ nội dung trong tệp Excel được tạo cho bài tập; không chứng minh nhóm đã phỏng vấn, phát phiếu hay khảo sát cửa hàng thật.</x:v>
      </x:c>
      <x:c r="B2" s="6"/>
      <x:c r="C2" s="6"/>
      <x:c r="D2" s="6"/>
    </x:row>
    <x:row r="3" ht="24" customHeight="1">
      <x:c r="A3" s="6"/>
      <x:c r="B3" s="6"/>
      <x:c r="C3" s="6"/>
      <x:c r="D3" s="6"/>
    </x:row>
    <x:row r="4" ht="12" customHeight="1">
      <x:c r="A4" s="2"/>
      <x:c r="B4" s="2"/>
      <x:c r="C4" s="2"/>
      <x:c r="D4" s="2"/>
    </x:row>
    <x:row r="5" ht="42" customHeight="1">
      <x:c r="A5" s="9" t="str">
        <x:v>Mục</x:v>
      </x:c>
      <x:c r="B5" s="9" t="str">
        <x:v>Nội dung</x:v>
      </x:c>
      <x:c r="C5" s="9" t="str">
        <x:v>Cách kiểm tra / nguồn</x:v>
      </x:c>
      <x:c r="D5" s="9" t="str">
        <x:v>Nhãn / lưu ý</x:v>
      </x:c>
    </x:row>
    <x:row r="6" ht="75" customHeight="1">
      <x:c r="A6" s="11" t="str">
        <x:v>Phạm vi</x:v>
      </x:c>
      <x:c r="B6" s="11" t="str">
        <x:v>Website bán quần áo trực tuyến NÉT Commerce</x:v>
      </x:c>
      <x:c r="C6" s="11" t="str">
        <x:v>Đồ án Project 1</x:v>
      </x:c>
      <x:c r="D6" s="11" t="str">
        <x:v>SYN</x:v>
      </x:c>
    </x:row>
    <x:row r="7" ht="75" customHeight="1">
      <x:c r="A7" s="12" t="str">
        <x:v>Số lượng mẫu</x:v>
      </x:c>
      <x:c r="B7" s="12" t="str">
        <x:v>144 phiếu; 12 phỏng vấn; 20 đơn; 10 chứng từ kho</x:v>
      </x:c>
      <x:c r="C7" s="12" t="str">
        <x:v>survey.json; qualitative.json</x:v>
      </x:c>
      <x:c r="D7" s="12" t="str">
        <x:v>Các tình huống giả lập</x:v>
      </x:c>
    </x:row>
    <x:row r="8" ht="75" customHeight="1">
      <x:c r="A8" s="11" t="str">
        <x:v>Mã tạo lại dữ liệu</x:v>
      </x:c>
      <x:c r="B8" s="11" t="str">
        <x:v>20260903</x:v>
      </x:c>
      <x:c r="C8" s="11" t="str">
        <x:v>Mã khởi tạo (seed) trong survey.json / metadata</x:v>
      </x:c>
      <x:c r="D8" s="11" t="str">
        <x:v>Không dùng hàm ngẫu nhiên RAND() trong Excel</x:v>
      </x:c>
    </x:row>
    <x:row r="9" ht="75" customHeight="1">
      <x:c r="A9" s="12" t="str">
        <x:v>Tệp phiếu gốc</x:v>
      </x:c>
      <x:c r="B9" s="12" t="str">
        <x:v>docs/project-1/synthetic/survey.json</x:v>
      </x:c>
      <x:c r="C9" s="12" t="str">
        <x:v>Dữ liệu do chương trình tạo; cùng mã khởi tạo cho cùng kết quả</x:v>
      </x:c>
      <x:c r="D9" s="12" t="str">
        <x:v>Không phải phiếu người thật</x:v>
      </x:c>
    </x:row>
    <x:row r="10" ht="75" customHeight="1">
      <x:c r="A10" s="11" t="str">
        <x:v>Tệp phỏng vấn, hồ sơ</x:v>
      </x:c>
      <x:c r="B10" s="11" t="str">
        <x:v>docs/project-1/synthetic/qualitative.json</x:v>
      </x:c>
      <x:c r="C10" s="11" t="str">
        <x:v>Các phỏng vấn, đơn và chứng từ đều ghi SYN (giả lập)</x:v>
      </x:c>
      <x:c r="D10" s="11" t="str">
        <x:v>Không phải biên bản khảo sát thật</x:v>
      </x:c>
    </x:row>
    <x:row r="11" ht="75" customHeight="1">
      <x:c r="A11" s="12" t="str">
        <x:v>Các bước chọn phiếu</x:v>
      </x:c>
      <x:c r="B11" s="12" t="str">
        <x:v>160 tiếp cận → 144 bắt đầu → 128 đủ điều kiện → 124 hoàn tất → 120 hợp lệ</x:v>
      </x:c>
      <x:c r="C11" s="12" t="str">
        <x:v>Trang KetQua đếm từ DuLieuGoc; số tiếp cận là giả định trong thông tin bộ dữ liệu</x:v>
      </x:c>
      <x:c r="D11" s="12" t="str">
        <x:v>Tách rõ số người ở từng bước</x:v>
      </x:c>
    </x:row>
    <x:row r="12" ht="75" customHeight="1">
      <x:c r="A12" s="11" t="str">
        <x:v>Thử phiếu trước khảo sát</x:v>
      </x:c>
      <x:c r="B12" s="11" t="str">
        <x:v>10 tình huống thử giả lập ở cuối trang Codebook; không gộp vào 144 phiếu chính</x:v>
      </x:c>
      <x:c r="C12" s="11" t="str">
        <x:v>Chưa có người thật thử phiếu hay thử giao diện</x:v>
      </x:c>
      <x:c r="D12" s="11" t="str">
        <x:v>Không coi là thử nghiệm đã diễn ra</x:v>
      </x:c>
    </x:row>
    <x:row r="13" ht="75" customHeight="1">
      <x:c r="A13" s="12" t="str">
        <x:v>Trang DuLieuGoc</x:v>
      </x:c>
      <x:c r="B13" s="12" t="str">
        <x:v>Mỗi dòng là một phiếu, đủ Q01–Q17. Cột Qxx__code ghi lựa chọn 0/1; cột Qxx_other ghi câu trả lời mở</x:v>
      </x:c>
      <x:c r="C13" s="12" t="str">
        <x:v>0 = không chọn; 1 = có chọn; ô trống = chưa trả lời hoặc không được hỏi</x:v>
      </x:c>
      <x:c r="D13" s="12" t="str">
        <x:v>Lọc status = valid để lấy phiếu hợp lệ</x:v>
      </x:c>
    </x:row>
    <x:row r="14" ht="75" customHeight="1">
      <x:c r="A14" s="11" t="str">
        <x:v>Trang KetQua</x:v>
      </x:c>
      <x:c r="B14" s="11" t="str">
        <x:v>Số người chọn, số người được hỏi, tỷ lệ và đối chiếu với tệp nguồn</x:v>
      </x:c>
      <x:c r="C14" s="11" t="str">
        <x:v>COUNTIFS để đếm, SUMIFS để cộng có điều kiện, IF để kiểm tra; tỷ lệ tính bằng công thức</x:v>
      </x:c>
      <x:c r="D14" s="11" t="str">
        <x:v>Đổi dữ liệu đầu vào thì kết quả tính lại</x:v>
      </x:c>
    </x:row>
    <x:row r="15" ht="75" customHeight="1">
      <x:c r="A15" s="12" t="str">
        <x:v>Trang PhongVan</x:v>
      </x:c>
      <x:c r="B15" s="12" t="str">
        <x:v>12 hồ sơ và các ý kiến giả định, có ghi yêu cầu liên quan</x:v>
      </x:c>
      <x:c r="C15" s="12" t="str">
        <x:v>Câu trích được sáng tác để minh họa, không phải lời người thật</x:v>
      </x:c>
      <x:c r="D15" s="12" t="str">
        <x:v>SYN: giả lập</x:v>
      </x:c>
    </x:row>
    <x:row r="16" ht="75" customHeight="1">
      <x:c r="A16" s="11" t="str">
        <x:v>Trang DonHang / DongHang</x:v>
      </x:c>
      <x:c r="B16" s="11" t="str">
        <x:v>20 mẫu đơn và chi tiết mã hàng, kiện hàng để kiểm tra tổng tiền</x:v>
      </x:c>
      <x:c r="C16" s="11" t="str">
        <x:v>SKU là mã cho từng mẫu, cỡ và màu. Tiền bằng đồng; thành tiền = số lượng × đơn giá</x:v>
      </x:c>
      <x:c r="D16" s="11" t="str">
        <x:v>Không dùng tính doanh số thật</x:v>
      </x:c>
    </x:row>
    <x:row r="17" ht="75" customHeight="1">
      <x:c r="A17" s="12" t="str">
        <x:v>Trang ChungTuKho</x:v>
      </x:c>
      <x:c r="B17" s="12" t="str">
        <x:v>10 chứng từ; mỗi lần tăng, giảm tồn được ghi ở bảng bên dưới</x:v>
      </x:c>
      <x:c r="C17" s="12" t="str">
        <x:v>Mỗi mẫu là một tình huống riêng, không nối tồn từ mẫu này sang mẫu khác</x:v>
      </x:c>
      <x:c r="D17" s="12" t="str">
        <x:v>Tách tồn thực tế, hàng giữ và dự phòng</x:v>
      </x:c>
    </x:row>
    <x:row r="18" ht="75" customHeight="1">
      <x:c r="A18" s="11" t="str">
        <x:v>Giới hạn sử dụng</x:v>
      </x:c>
      <x:c r="B18" s="11" t="str">
        <x:v>Mẫu giả lập không đại diện người mua thực tế và không dùng để kết luận nhu cầu thị trường</x:v>
      </x:c>
      <x:c r="C18" s="11" t="str">
        <x:v>Chỉ minh họa các tình huống nghiệp vụ và cách phân tích trong bài tập</x:v>
      </x:c>
      <x:c r="D18" s="11" t="str">
        <x:v>Không thực hiện suy luận thống kê</x:v>
      </x:c>
    </x:row>
    <x:row r="19" ht="75" customHeight="1">
      <x:c r="A19" s="12" t="str">
        <x:v>Cách chọn phiếu hợp lệ</x:v>
      </x:c>
      <x:c r="B19" s="12" t="str">
        <x:v>Giữ nguyên phiếu gốc, ghi rõ phiếu trùng và lý do loại; chỉ phiếu hợp lệ vào kết quả chính</x:v>
      </x:c>
      <x:c r="C19" s="12" t="str">
        <x:v>Q11 chỉ dành cho người từng bỏ dở đặt hàng, không lấy cả 120 phiếu làm mẫu số</x:v>
      </x:c>
      <x:c r="D19" s="12" t="str">
        <x:v>Không thay ô chưa trả lời bằng 0</x:v>
      </x:c>
    </x:row>
    <x:row r="20" ht="75" customHeight="1">
      <x:c r="A20" s="11" t="str">
        <x:v>Mã màu</x:v>
      </x:c>
      <x:c r="B20" s="11" t="str">
        <x:v>Xanh lam: dữ liệu nguồn/đầu vào. Màu mực: công thức. Vàng: cảnh báo</x:v>
      </x:c>
      <x:c r="C20" s="11" t="str">
        <x:v>Trạng thái KHỚP/LỖI được ghi bằng chữ, không chỉ dựa màu</x:v>
      </x:c>
      <x:c r="D20" s="11" t="str">
        <x:v>Không có dữ liệu nhạy cảm thật</x:v>
      </x:c>
    </x:row>
    <x:row r="21" ht="75" customHeight="1">
      <x:c r="A21" s="12" t="str">
        <x:v>Khi khảo sát thật</x:v>
      </x:c>
      <x:c r="B21" s="12" t="str">
        <x:v>Tạo bộ dữ liệu mới, ghi sự đồng ý tham gia, nguồn và thời gian. FIELD là nhãn khảo sát thật; không đổi nhãn SYN thành FIELD</x:v>
      </x:c>
      <x:c r="C21" s="12" t="str">
        <x:v>Cập nhật báo cáo từ dữ liệu thực đã kiểm tra; không tự dùng lại kết luận của bộ giả lập</x:v>
      </x:c>
      <x:c r="D21" s="12" t="str">
        <x:v>Tách riêng dữ liệu thật và giả lập</x:v>
      </x:c>
    </x:row>
    <x:row r="22" ht="75" customHeight="1">
      <x:c r="A22" s="11" t="str">
        <x:v>Các mẫu độc lập</x:v>
      </x:c>
      <x:c r="B22" s="11" t="str">
        <x:v>Mỗi đơn, chứng từ chỉ mô tả một thời điểm giả định. Các dòng cùng mẫu khớp nhau; tham chiếu hàng hoàn chỉ minh họa cách tra lại, không nối tồn giữa các mẫu</x:v>
      </x:c>
      <x:c r="C22" s="11" t="str">
        <x:v>Đối chiếu quy tắc gốc: qualitative.json / metadata.snapshotPolicy</x:v>
      </x:c>
      <x:c r="D22" s="11" t="str">
        <x:v>Không cộng nối số tồn giữa các mẫu</x:v>
      </x:c>
    </x:row>
    <x:row r="23" ht="75" customHeight="1">
      <x:c r="A23" s="12" t="str">
        <x:v>Đơn vị và cách tính tiền</x:v>
      </x:c>
      <x:c r="B23" s="12" t="str">
        <x:v>Tiền dùng số nguyên đồng (VND), khác trường price_cents trong cơ sở dữ liệu. Tiền hàng = tổng số lượng × đơn giá; tổng trả = tiền hàng − giảm giá + phí giao</x:v>
      </x:c>
      <x:c r="C23" s="12" t="str">
        <x:v>Mã giảm giá và phí giao là giả định riêng. Tổng tiền mẫu không phải doanh thu. Nguồn: qualitative.json / metadata.moneyPolicy</x:v>
      </x:c>
      <x:c r="D23" s="12" t="str">
        <x:v>VND là đồng Việt Nam</x:v>
      </x:c>
    </x:row>
    <x:row r="24" ht="75" customHeight="1">
      <x:c r="A24" s="11" t="str">
        <x:v>Giữ tiêu đề khi cuộn</x:v>
      </x:c>
      <x:c r="B24" s="11" t="str">
        <x:v>Trong DuLieuGoc, chọn C6 → View → Freeze Panes (Xem → Cố định ngăn) để giữ 5 dòng đầu và 2 cột mã, nhãn</x:v>
      </x:c>
      <x:c r="C24" s="11" t="str">
        <x:v>Bản xuất hiện tại chưa lưu thiết lập này; bộ lọc của bảng vẫn dùng được</x:v>
      </x:c>
      <x:c r="D24" s="11" t="str">
        <x:v>Có thể tự bật trong Excel</x:v>
      </x:c>
    </x:row>
    <x:row r="25" ht="24" customHeight="1">
      <x:c r="A25" s="2"/>
      <x:c r="B25" s="2"/>
      <x:c r="C25" s="2"/>
      <x:c r="D25" s="2"/>
    </x:row>
    <x:row r="26" ht="24" customHeight="1">
      <x:c r="A26" s="2"/>
      <x:c r="B26" s="2"/>
      <x:c r="C26" s="2"/>
      <x:c r="D26" s="2"/>
    </x:row>
    <x:row r="27" ht="42" customHeight="1">
      <x:c r="A27" s="9" t="str">
        <x:v>Nội dung kiểm tra</x:v>
      </x:c>
      <x:c r="B27" s="9" t="str">
        <x:v>Kết quả tính</x:v>
      </x:c>
      <x:c r="C27" s="9" t="str">
        <x:v>Số cần khớp với nguồn</x:v>
      </x:c>
      <x:c r="D27" s="9" t="str">
        <x:v>Kết quả đối chiếu</x:v>
      </x:c>
    </x:row>
    <x:row r="28" ht="36" customHeight="1">
      <x:c r="A28" s="11" t="str">
        <x:v>Phiếu gốc</x:v>
      </x:c>
      <x:c r="B28" s="28" t="n">
        <x:f>COUNTA('DuLieuGoc'!$A$6:$A$149)</x:f>
        <x:v>144</x:v>
      </x:c>
      <x:c r="C28" s="26" t="n">
        <x:v>144</x:v>
      </x:c>
      <x:c r="D28" s="24" t="str">
        <x:f>IF(B28=C28,"KHỚP","LỖI")</x:f>
        <x:v>KHỚP</x:v>
      </x:c>
    </x:row>
    <x:row r="29" ht="36" customHeight="1">
      <x:c r="A29" s="12" t="str">
        <x:v>Phiếu hợp lệ</x:v>
      </x:c>
      <x:c r="B29" s="29" t="n">
        <x:f>COUNTIF('DuLieuGoc'!$G$6:$G$149,'Codebook'!$B$6)</x:f>
        <x:v>120</x:v>
      </x:c>
      <x:c r="C29" s="27" t="n">
        <x:v>120</x:v>
      </x:c>
      <x:c r="D29" s="25" t="str">
        <x:f>IF(B29=C29,"KHỚP","LỖI")</x:f>
        <x:v>KHỚP</x:v>
      </x:c>
    </x:row>
    <x:row r="30" ht="36" customHeight="1">
      <x:c r="A30" s="37" t="str">
        <x:v>Hồ sơ phỏng vấn</x:v>
      </x:c>
      <x:c r="B30" s="45" t="n">
        <x:f>COUNTA('PhongVan'!$A$6:$A$17)</x:f>
        <x:v>12</x:v>
      </x:c>
      <x:c r="C30" s="46" t="n">
        <x:v>12</x:v>
      </x:c>
      <x:c r="D30" s="49" t="str">
        <x:f>IF(B30=C30,"KHỚP","LỖI")</x:f>
        <x:v>KHỚP</x:v>
      </x:c>
    </x:row>
    <x:row r="31" ht="36" customHeight="1">
      <x:c r="A31" s="38" t="str">
        <x:v>Mẫu đơn hàng</x:v>
      </x:c>
      <x:c r="B31" s="47" t="n">
        <x:f>COUNTA('DonHang'!$A$6:$A$25)</x:f>
        <x:v>20</x:v>
      </x:c>
      <x:c r="C31" s="48" t="n">
        <x:v>20</x:v>
      </x:c>
      <x:c r="D31" s="50" t="str">
        <x:f>IF(B31=C31,"KHỚP","LỖI")</x:f>
        <x:v>KHỚP</x:v>
      </x:c>
    </x:row>
    <x:row r="32" ht="36" customHeight="1">
      <x:c r="A32" s="37" t="str">
        <x:v>Chứng từ kho</x:v>
      </x:c>
      <x:c r="B32" s="45" t="n">
        <x:f>COUNTA('ChungTuKho'!$A$6:$A$15)</x:f>
        <x:v>10</x:v>
      </x:c>
      <x:c r="C32" s="46" t="n">
        <x:v>10</x:v>
      </x:c>
      <x:c r="D32" s="49" t="str">
        <x:f>IF(B32=C32,"KHỚP","LỖI")</x:f>
        <x:v>KHỚP</x:v>
      </x:c>
    </x:row>
    <x:row r="33" ht="36" customHeight="1">
      <x:c r="A33" s="38" t="str">
        <x:v>Dòng hàng chi tiết</x:v>
      </x:c>
      <x:c r="B33" s="47" t="n">
        <x:f>COUNTA('DongHang'!$A$6:$A$35)</x:f>
        <x:v>30</x:v>
      </x:c>
      <x:c r="C33" s="48" t="n">
        <x:v>30</x:v>
      </x:c>
      <x:c r="D33" s="50" t="str">
        <x:f>IF(B33=C33,"KHỚP","LỖI")</x:f>
        <x:v>KHỚP</x:v>
      </x:c>
    </x:row>
    <x:row r="34" ht="36" customHeight="1">
      <x:c r="A34" s="37" t="str">
        <x:v>Đối chiếu kết quả chính</x:v>
      </x:c>
      <x:c r="B34" s="45" t="n">
        <x:f>COUNTIF('KetQua'!$I$25:$I$109,"LỖI")</x:f>
        <x:v>0</x:v>
      </x:c>
      <x:c r="C34" s="46" t="n">
        <x:v>0</x:v>
      </x:c>
      <x:c r="D34" s="49" t="str">
        <x:f>IF(B34=C34,"KHỚP","LỖI")</x:f>
        <x:v>KHỚP</x:v>
      </x:c>
    </x:row>
    <x:row r="35" ht="36" customHeight="1">
      <x:c r="A35" s="38" t="str">
        <x:v>Đối chiếu so sánh nhóm</x:v>
      </x:c>
      <x:c r="B35" s="47" t="n">
        <x:f>COUNTIF('KetQua'!$I$114:$I$128,"LỖI")</x:f>
        <x:v>0</x:v>
      </x:c>
      <x:c r="C35" s="48" t="n">
        <x:v>0</x:v>
      </x:c>
      <x:c r="D35" s="50" t="str">
        <x:f>IF(B35=C35,"KHỚP","LỖI")</x:f>
        <x:v>KHỚP</x:v>
      </x:c>
    </x:row>
    <x:row r="36" ht="36" customHeight="1">
      <x:c r="A36" s="37" t="str">
        <x:v>Lỗi tiền đơn</x:v>
      </x:c>
      <x:c r="B36" s="45" t="n">
        <x:f>COUNTIF('DonHang'!$N$6:$N$25,"LỖI TIỀN")</x:f>
        <x:v>0</x:v>
      </x:c>
      <x:c r="C36" s="46" t="n">
        <x:v>0</x:v>
      </x:c>
      <x:c r="D36" s="49" t="str">
        <x:f>IF(B36=C36,"KHỚP","LỖI")</x:f>
        <x:v>KHỚP</x:v>
      </x:c>
    </x:row>
    <x:row r="37" ht="36" customHeight="1">
      <x:c r="A37" s="38" t="str">
        <x:v>Lỗi tiền dòng</x:v>
      </x:c>
      <x:c r="B37" s="47" t="n">
        <x:f>COUNTIF('DongHang'!$I$6:$I$35,"LỖI TIỀN")</x:f>
        <x:v>0</x:v>
      </x:c>
      <x:c r="C37" s="48" t="n">
        <x:v>0</x:v>
      </x:c>
      <x:c r="D37" s="50" t="str">
        <x:f>IF(B37=C37,"KHỚP","LỖI")</x:f>
        <x:v>KHỚP</x:v>
      </x:c>
    </x:row>
    <x:row r="38" ht="36" customHeight="1">
      <x:c r="A38" s="37" t="str">
        <x:v>Lỗi số dư</x:v>
      </x:c>
      <x:c r="B38" s="45" t="n">
        <x:f>COUNTIF('ChungTuKho'!$I$20:$I$32,"LỖI TỒN")</x:f>
        <x:v>0</x:v>
      </x:c>
      <x:c r="C38" s="46" t="n">
        <x:v>0</x:v>
      </x:c>
      <x:c r="D38" s="49" t="str">
        <x:f>IF(B38=C38,"KHỚP","LỖI")</x:f>
        <x:v>KHỚP</x:v>
      </x:c>
    </x:row>
    <x:row r="39" ht="36" customHeight="1">
      <x:c r="A39" s="38" t="str">
        <x:v>Lỗi hàng còn sau giữ, dự phòng</x:v>
      </x:c>
      <x:c r="B39" s="47" t="n">
        <x:f>COUNTIF('ChungTuKho'!$Q$20:$Q$32,"LỖI ATP")</x:f>
        <x:v>0</x:v>
      </x:c>
      <x:c r="C39" s="48" t="n">
        <x:v>0</x:v>
      </x:c>
      <x:c r="D39" s="50" t="str">
        <x:f>IF(B39=C39,"KHỚP","LỖI")</x:f>
        <x:v>KHỚP</x:v>
      </x:c>
    </x:row>
    <x:row r="40" ht="36" customHeight="1">
      <x:c r="A40" s="37" t="str">
        <x:v>Tổng tiền mẫu (đồng)</x:v>
      </x:c>
      <x:c r="B40" s="45" t="n">
        <x:f>SUM('DonHang'!$L$6:$L$25)</x:f>
        <x:v>13820000</x:v>
      </x:c>
      <x:c r="C40" s="45" t="n">
        <x:f>SUM('DonHang'!$M$6:$M$25)</x:f>
        <x:v>13820000</x:v>
      </x:c>
      <x:c r="D40" s="49" t="str">
        <x:f>IF(B40=C40,"KHỚP","LỖI")</x:f>
        <x:v>KHỚP</x:v>
      </x:c>
    </x:row>
    <x:row r="42">
      <x:c r="A42" s="52" t="str">
        <x:v>Tổng tiền các mẫu giả lập không phải doanh thu.</x:v>
      </x:c>
      <x:c r="B42" s="52"/>
      <x:c r="C42" s="52"/>
      <x:c r="D42" s="52"/>
    </x:row>
    <x:row r="43">
      <x:c r="A43" s="52"/>
      <x:c r="B43" s="52"/>
      <x:c r="C43" s="52"/>
      <x:c r="D43" s="52"/>
    </x:row>
  </x:sheetData>
  <x:mergeCells>
    <x:mergeCell ref="A1:D1"/>
    <x:mergeCell ref="A2:D3"/>
    <x:mergeCell ref="A42:D43"/>
  </x:mergeCells>
  <x:conditionalFormatting sqref="D28:D40">
    <x:cfRule type="containsText" dxfId="16" priority="1" operator="containsText" text="LỖI"/>
    <x:cfRule type="containsText" dxfId="17" priority="2" operator="containsText" text="KHỚP"/>
  </x:conditionalFormatting>
  <x:pageMargins left="0.7" right="0.7" top="0.75" bottom="0.75" header="0.3" footer="0.3"/>
  <x:tableParts count="2">
    <x:tablePart xmlns:r="http://schemas.openxmlformats.org/officeDocument/2006/relationships" r:id="R8ed30ca7b66f43e2"/>
    <x:tablePart xmlns:r="http://schemas.openxmlformats.org/officeDocument/2006/relationships" r:id="Rc06d6488dd344b8c"/>
  </x:tableParts>
</x:worksheet>
</file>

<file path=xl/worksheets/sheet2.xml><?xml version="1.0" encoding="utf-8"?>
<x:worksheet xmlns:x="http://schemas.openxmlformats.org/spreadsheetml/2006/main">
  <x:sheetViews>
    <x:sheetView showGridLines="0" workbookViewId="0"/>
  </x:sheetViews>
  <x:sheetFormatPr defaultRowHeight="15"/>
  <x:cols>
    <x:col min="1" max="1" width="22" hidden="0" customWidth="1"/>
    <x:col min="2" max="2" width="20" hidden="0" customWidth="1"/>
    <x:col min="3" max="3" width="20" hidden="0" customWidth="1"/>
    <x:col min="4" max="4" width="20" hidden="0" customWidth="1"/>
    <x:col min="5" max="5" width="20" hidden="0" customWidth="1"/>
    <x:col min="6" max="6" width="20" hidden="0" customWidth="1"/>
    <x:col min="7" max="7" width="20" hidden="0" customWidth="1"/>
    <x:col min="8" max="8" width="26" hidden="0" customWidth="1"/>
    <x:col min="9" max="9" width="22" hidden="0" customWidth="1"/>
    <x:col min="10" max="10" width="26" hidden="0" customWidth="1"/>
    <x:col min="11" max="11" width="26" hidden="0" customWidth="1"/>
    <x:col min="12" max="12" width="26" hidden="0" customWidth="1"/>
    <x:col min="13" max="13" width="26" hidden="0" customWidth="1"/>
    <x:col min="14" max="14" width="26" hidden="0" customWidth="1"/>
    <x:col min="15" max="15" width="29" hidden="0" customWidth="1"/>
    <x:col min="16" max="16" width="29" hidden="0" customWidth="1"/>
    <x:col min="17" max="17" width="29" hidden="0" customWidth="1"/>
    <x:col min="18" max="18" width="29" hidden="0" customWidth="1"/>
    <x:col min="19" max="19" width="29" hidden="0" customWidth="1"/>
    <x:col min="20" max="20" width="58" hidden="0" customWidth="1"/>
    <x:col min="21" max="21" width="26" hidden="0" customWidth="1"/>
    <x:col min="22" max="22" width="29" hidden="0" customWidth="1"/>
    <x:col min="23" max="23" width="29" hidden="0" customWidth="1"/>
    <x:col min="24" max="24" width="29" hidden="0" customWidth="1"/>
    <x:col min="25" max="25" width="29" hidden="0" customWidth="1"/>
    <x:col min="26" max="26" width="29" hidden="0" customWidth="1"/>
    <x:col min="27" max="27" width="29" hidden="0" customWidth="1"/>
    <x:col min="28" max="28" width="29" hidden="0" customWidth="1"/>
    <x:col min="29" max="29" width="29" hidden="0" customWidth="1"/>
    <x:col min="30" max="30" width="29" hidden="0" customWidth="1"/>
    <x:col min="31" max="31" width="58" hidden="0" customWidth="1"/>
    <x:col min="32" max="32" width="26" hidden="0" customWidth="1"/>
    <x:col min="33" max="33" width="58" hidden="0" customWidth="1"/>
    <x:col min="34" max="34" width="26" hidden="0" customWidth="1"/>
    <x:col min="35" max="35" width="29" hidden="0" customWidth="1"/>
    <x:col min="36" max="36" width="29" hidden="0" customWidth="1"/>
    <x:col min="37" max="37" width="29" hidden="0" customWidth="1"/>
    <x:col min="38" max="38" width="29" hidden="0" customWidth="1"/>
    <x:col min="39" max="39" width="29" hidden="0" customWidth="1"/>
    <x:col min="40" max="40" width="29" hidden="0" customWidth="1"/>
    <x:col min="41" max="41" width="29" hidden="0" customWidth="1"/>
    <x:col min="42" max="42" width="29" hidden="0" customWidth="1"/>
    <x:col min="43" max="43" width="58" hidden="0" customWidth="1"/>
    <x:col min="44" max="44" width="29" hidden="0" customWidth="1"/>
    <x:col min="45" max="45" width="29" hidden="0" customWidth="1"/>
    <x:col min="46" max="46" width="29" hidden="0" customWidth="1"/>
    <x:col min="47" max="47" width="29" hidden="0" customWidth="1"/>
    <x:col min="48" max="48" width="29" hidden="0" customWidth="1"/>
    <x:col min="49" max="49" width="29" hidden="0" customWidth="1"/>
    <x:col min="50" max="50" width="29" hidden="0" customWidth="1"/>
    <x:col min="51" max="51" width="29" hidden="0" customWidth="1"/>
    <x:col min="52" max="52" width="29" hidden="0" customWidth="1"/>
    <x:col min="53" max="53" width="58" hidden="0" customWidth="1"/>
    <x:col min="54" max="54" width="26" hidden="0" customWidth="1"/>
    <x:col min="55" max="55" width="58" hidden="0" customWidth="1"/>
    <x:col min="56" max="56" width="26" hidden="0" customWidth="1"/>
    <x:col min="57" max="57" width="29" hidden="0" customWidth="1"/>
    <x:col min="58" max="58" width="29" hidden="0" customWidth="1"/>
    <x:col min="59" max="59" width="29" hidden="0" customWidth="1"/>
    <x:col min="60" max="60" width="29" hidden="0" customWidth="1"/>
    <x:col min="61" max="61" width="29" hidden="0" customWidth="1"/>
    <x:col min="62" max="62" width="29" hidden="0" customWidth="1"/>
    <x:col min="63" max="63" width="29" hidden="0" customWidth="1"/>
    <x:col min="64" max="64" width="26" hidden="0" customWidth="1"/>
    <x:col min="65" max="65" width="58" hidden="0" customWidth="1"/>
  </x:cols>
  <x:sheetData>
    <x:row r="1" ht="38" customHeight="1">
      <x:c r="A1" s="4" t="str">
        <x:v>PHIẾU GIẢ LẬP · 144 bản gốc</x:v>
      </x:c>
      <x:c r="B1" s="4"/>
      <x:c r="C1" s="4"/>
      <x:c r="D1" s="4"/>
      <x:c r="E1" s="4"/>
      <x:c r="F1" s="4"/>
      <x:c r="G1" s="4"/>
      <x:c r="H1" s="4"/>
      <x:c r="I1" s="4"/>
      <x:c r="J1" s="4"/>
      <x:c r="K1" s="2"/>
      <x:c r="L1" s="2"/>
      <x:c r="M1" s="2"/>
      <x:c r="N1" s="2"/>
      <x:c r="O1" s="2"/>
      <x:c r="P1" s="2"/>
      <x:c r="Q1" s="2"/>
      <x:c r="R1" s="2"/>
      <x:c r="S1" s="2"/>
      <x:c r="T1" s="2"/>
      <x:c r="U1" s="2"/>
      <x:c r="V1" s="2"/>
      <x:c r="W1" s="2"/>
      <x:c r="X1" s="2"/>
      <x:c r="Y1" s="2"/>
      <x:c r="Z1" s="2"/>
      <x:c r="AA1" s="2"/>
      <x:c r="AB1" s="2"/>
      <x:c r="AC1" s="2"/>
      <x:c r="AD1" s="2"/>
      <x:c r="AE1" s="2"/>
      <x:c r="AF1" s="2"/>
      <x:c r="AG1" s="2"/>
      <x:c r="AH1" s="2"/>
      <x:c r="AI1" s="2"/>
      <x:c r="AJ1" s="2"/>
      <x:c r="AK1" s="2"/>
      <x:c r="AL1" s="2"/>
      <x:c r="AM1" s="2"/>
      <x:c r="AN1" s="2"/>
      <x:c r="AO1" s="2"/>
      <x:c r="AP1" s="2"/>
      <x:c r="AQ1" s="2"/>
      <x:c r="AR1" s="2"/>
      <x:c r="AS1" s="2"/>
      <x:c r="AT1" s="2"/>
      <x:c r="AU1" s="2"/>
      <x:c r="AV1" s="2"/>
      <x:c r="AW1" s="2"/>
      <x:c r="AX1" s="2"/>
      <x:c r="AY1" s="2"/>
      <x:c r="AZ1" s="2"/>
      <x:c r="BA1" s="2"/>
      <x:c r="BB1" s="2"/>
      <x:c r="BC1" s="2"/>
      <x:c r="BD1" s="2"/>
      <x:c r="BE1" s="2"/>
      <x:c r="BF1" s="2"/>
      <x:c r="BG1" s="2"/>
      <x:c r="BH1" s="2"/>
      <x:c r="BI1" s="2"/>
      <x:c r="BJ1" s="2"/>
      <x:c r="BK1" s="2"/>
      <x:c r="BL1" s="2"/>
      <x:c r="BM1" s="2"/>
    </x:row>
    <x:row r="2" ht="24" customHeight="1">
      <x:c r="A2" s="6" t="str">
        <x:v>SYN = dữ liệu giả lập, không phải trả lời của người thật. Mỗi dòng là một phiếu; mã và câu trả lời được giữ nguyên. Xem bảng Codebook để đọc nghĩa các mã. Ô trống không có nghĩa là 0.</x:v>
      </x:c>
      <x:c r="B2" s="6"/>
      <x:c r="C2" s="6"/>
      <x:c r="D2" s="6"/>
      <x:c r="E2" s="6"/>
      <x:c r="F2" s="6"/>
      <x:c r="G2" s="6"/>
      <x:c r="H2" s="6"/>
      <x:c r="I2" s="6"/>
      <x:c r="J2" s="6"/>
      <x:c r="K2" s="2"/>
      <x:c r="L2" s="2"/>
      <x:c r="M2" s="2"/>
      <x:c r="N2" s="2"/>
      <x:c r="O2" s="2"/>
      <x:c r="P2" s="2"/>
      <x:c r="Q2" s="2"/>
      <x:c r="R2" s="2"/>
      <x:c r="S2" s="2"/>
      <x:c r="T2" s="2"/>
      <x:c r="U2" s="2"/>
      <x:c r="V2" s="2"/>
      <x:c r="W2" s="2"/>
      <x:c r="X2" s="2"/>
      <x:c r="Y2" s="2"/>
      <x:c r="Z2" s="2"/>
      <x:c r="AA2" s="2"/>
      <x:c r="AB2" s="2"/>
      <x:c r="AC2" s="2"/>
      <x:c r="AD2" s="2"/>
      <x:c r="AE2" s="2"/>
      <x:c r="AF2" s="2"/>
      <x:c r="AG2" s="2"/>
      <x:c r="AH2" s="2"/>
      <x:c r="AI2" s="2"/>
      <x:c r="AJ2" s="2"/>
      <x:c r="AK2" s="2"/>
      <x:c r="AL2" s="2"/>
      <x:c r="AM2" s="2"/>
      <x:c r="AN2" s="2"/>
      <x:c r="AO2" s="2"/>
      <x:c r="AP2" s="2"/>
      <x:c r="AQ2" s="2"/>
      <x:c r="AR2" s="2"/>
      <x:c r="AS2" s="2"/>
      <x:c r="AT2" s="2"/>
      <x:c r="AU2" s="2"/>
      <x:c r="AV2" s="2"/>
      <x:c r="AW2" s="2"/>
      <x:c r="AX2" s="2"/>
      <x:c r="AY2" s="2"/>
      <x:c r="AZ2" s="2"/>
      <x:c r="BA2" s="2"/>
      <x:c r="BB2" s="2"/>
      <x:c r="BC2" s="2"/>
      <x:c r="BD2" s="2"/>
      <x:c r="BE2" s="2"/>
      <x:c r="BF2" s="2"/>
      <x:c r="BG2" s="2"/>
      <x:c r="BH2" s="2"/>
      <x:c r="BI2" s="2"/>
      <x:c r="BJ2" s="2"/>
      <x:c r="BK2" s="2"/>
      <x:c r="BL2" s="2"/>
      <x:c r="BM2" s="2"/>
    </x:row>
    <x:row r="3" ht="24" customHeight="1">
      <x:c r="A3" s="6"/>
      <x:c r="B3" s="6"/>
      <x:c r="C3" s="6"/>
      <x:c r="D3" s="6"/>
      <x:c r="E3" s="6"/>
      <x:c r="F3" s="6"/>
      <x:c r="G3" s="6"/>
      <x:c r="H3" s="6"/>
      <x:c r="I3" s="6"/>
      <x:c r="J3" s="6"/>
      <x:c r="K3" s="2"/>
      <x:c r="L3" s="2"/>
      <x:c r="M3" s="2"/>
      <x:c r="N3" s="2"/>
      <x:c r="O3" s="2"/>
      <x:c r="P3" s="2"/>
      <x:c r="Q3" s="2"/>
      <x:c r="R3" s="2"/>
      <x:c r="S3" s="2"/>
      <x:c r="T3" s="2"/>
      <x:c r="U3" s="2"/>
      <x:c r="V3" s="2"/>
      <x:c r="W3" s="2"/>
      <x:c r="X3" s="2"/>
      <x:c r="Y3" s="2"/>
      <x:c r="Z3" s="2"/>
      <x:c r="AA3" s="2"/>
      <x:c r="AB3" s="2"/>
      <x:c r="AC3" s="2"/>
      <x:c r="AD3" s="2"/>
      <x:c r="AE3" s="2"/>
      <x:c r="AF3" s="2"/>
      <x:c r="AG3" s="2"/>
      <x:c r="AH3" s="2"/>
      <x:c r="AI3" s="2"/>
      <x:c r="AJ3" s="2"/>
      <x:c r="AK3" s="2"/>
      <x:c r="AL3" s="2"/>
      <x:c r="AM3" s="2"/>
      <x:c r="AN3" s="2"/>
      <x:c r="AO3" s="2"/>
      <x:c r="AP3" s="2"/>
      <x:c r="AQ3" s="2"/>
      <x:c r="AR3" s="2"/>
      <x:c r="AS3" s="2"/>
      <x:c r="AT3" s="2"/>
      <x:c r="AU3" s="2"/>
      <x:c r="AV3" s="2"/>
      <x:c r="AW3" s="2"/>
      <x:c r="AX3" s="2"/>
      <x:c r="AY3" s="2"/>
      <x:c r="AZ3" s="2"/>
      <x:c r="BA3" s="2"/>
      <x:c r="BB3" s="2"/>
      <x:c r="BC3" s="2"/>
      <x:c r="BD3" s="2"/>
      <x:c r="BE3" s="2"/>
      <x:c r="BF3" s="2"/>
      <x:c r="BG3" s="2"/>
      <x:c r="BH3" s="2"/>
      <x:c r="BI3" s="2"/>
      <x:c r="BJ3" s="2"/>
      <x:c r="BK3" s="2"/>
      <x:c r="BL3" s="2"/>
      <x:c r="BM3" s="2"/>
    </x:row>
    <x:row r="4" ht="12" customHeight="1">
      <x:c r="A4" s="2"/>
      <x:c r="B4" s="2"/>
      <x:c r="C4" s="2"/>
      <x:c r="D4" s="2"/>
      <x:c r="E4" s="2"/>
      <x:c r="F4" s="2"/>
      <x:c r="G4" s="2"/>
      <x:c r="H4" s="2"/>
      <x:c r="I4" s="2"/>
      <x:c r="J4" s="2"/>
      <x:c r="K4" s="2"/>
      <x:c r="L4" s="2"/>
      <x:c r="M4" s="2"/>
      <x:c r="N4" s="2"/>
      <x:c r="O4" s="2"/>
      <x:c r="P4" s="2"/>
      <x:c r="Q4" s="2"/>
      <x:c r="R4" s="2"/>
      <x:c r="S4" s="2"/>
      <x:c r="T4" s="2"/>
      <x:c r="U4" s="2"/>
      <x:c r="V4" s="2"/>
      <x:c r="W4" s="2"/>
      <x:c r="X4" s="2"/>
      <x:c r="Y4" s="2"/>
      <x:c r="Z4" s="2"/>
      <x:c r="AA4" s="2"/>
      <x:c r="AB4" s="2"/>
      <x:c r="AC4" s="2"/>
      <x:c r="AD4" s="2"/>
      <x:c r="AE4" s="2"/>
      <x:c r="AF4" s="2"/>
      <x:c r="AG4" s="2"/>
      <x:c r="AH4" s="2"/>
      <x:c r="AI4" s="2"/>
      <x:c r="AJ4" s="2"/>
      <x:c r="AK4" s="2"/>
      <x:c r="AL4" s="2"/>
      <x:c r="AM4" s="2"/>
      <x:c r="AN4" s="2"/>
      <x:c r="AO4" s="2"/>
      <x:c r="AP4" s="2"/>
      <x:c r="AQ4" s="2"/>
      <x:c r="AR4" s="2"/>
      <x:c r="AS4" s="2"/>
      <x:c r="AT4" s="2"/>
      <x:c r="AU4" s="2"/>
      <x:c r="AV4" s="2"/>
      <x:c r="AW4" s="2"/>
      <x:c r="AX4" s="2"/>
      <x:c r="AY4" s="2"/>
      <x:c r="AZ4" s="2"/>
      <x:c r="BA4" s="2"/>
      <x:c r="BB4" s="2"/>
      <x:c r="BC4" s="2"/>
      <x:c r="BD4" s="2"/>
      <x:c r="BE4" s="2"/>
      <x:c r="BF4" s="2"/>
      <x:c r="BG4" s="2"/>
      <x:c r="BH4" s="2"/>
      <x:c r="BI4" s="2"/>
      <x:c r="BJ4" s="2"/>
      <x:c r="BK4" s="2"/>
      <x:c r="BL4" s="2"/>
      <x:c r="BM4" s="2"/>
    </x:row>
    <x:row r="5" ht="72" customHeight="1">
      <x:c r="A5" s="13" t="str">
        <x:v>id
Mã phiếu</x:v>
      </x:c>
      <x:c r="B5" s="13" t="str">
        <x:v>evidence_type
Nhãn dữ liệu</x:v>
      </x:c>
      <x:c r="C5" s="13" t="str">
        <x:v>day
Ngày giả định</x:v>
      </x:c>
      <x:c r="D5" s="13" t="str">
        <x:v>completion_minutes
Thời gian (phút)</x:v>
      </x:c>
      <x:c r="E5" s="13" t="str">
        <x:v>eligible
Đủ điều kiện</x:v>
      </x:c>
      <x:c r="F5" s="13" t="str">
        <x:v>completed
Đã trả lời xong</x:v>
      </x:c>
      <x:c r="G5" s="13" t="str">
        <x:v>status
Kết quả phân loại</x:v>
      </x:c>
      <x:c r="H5" s="13" t="str">
        <x:v>exclusion_reason
Lý do loại</x:v>
      </x:c>
      <x:c r="I5" s="13" t="str">
        <x:v>duplicate_of
Trùng với phiếu</x:v>
      </x:c>
      <x:c r="J5" s="13" t="str">
        <x:v>Q01
Đồng ý tham gia</x:v>
      </x:c>
      <x:c r="K5" s="13" t="str">
        <x:v>Q02
Nhóm tuổi</x:v>
      </x:c>
      <x:c r="L5" s="13" t="str">
        <x:v>Q03
Đã mua trong 6 tháng</x:v>
      </x:c>
      <x:c r="M5" s="13" t="str">
        <x:v>Q04
Khu vực sống</x:v>
      </x:c>
      <x:c r="N5" s="13" t="str">
        <x:v>Q05
Tần suất mua</x:v>
      </x:c>
      <x:c r="O5" s="13" t="str">
        <x:v>Q06__marketplace
Sàn thương mại điện tử</x:v>
      </x:c>
      <x:c r="P5" s="13" t="str">
        <x:v>Q06__social_chat
Mạng xã hội, tin nhắn</x:v>
      </x:c>
      <x:c r="Q5" s="13" t="str">
        <x:v>Q06__livestream
Buổi bán hàng trực tiếp</x:v>
      </x:c>
      <x:c r="R5" s="13" t="str">
        <x:v>Q06__brand_website
Website thương hiệu</x:v>
      </x:c>
      <x:c r="S5" s="13" t="str">
        <x:v>Q06__other
Khác</x:v>
      </x:c>
      <x:c r="T5" s="13" t="str">
        <x:v>Q06_other
Kênh khác: mô tả</x:v>
      </x:c>
      <x:c r="U5" s="13" t="str">
        <x:v>Q07
Khoảng tiền một đơn</x:v>
      </x:c>
      <x:c r="V5" s="13" t="str">
        <x:v>Q08__size_uncertain
Không chắc cỡ phù hợp</x:v>
      </x:c>
      <x:c r="W5" s="13" t="str">
        <x:v>Q08__photo_mismatch
Hàng khác ảnh hoặc mô tả</x:v>
      </x:c>
      <x:c r="X5" s="13" t="str">
        <x:v>Q08__returns_unclear
Đổi trả khó hoặc chưa rõ</x:v>
      </x:c>
      <x:c r="Y5" s="13" t="str">
        <x:v>Q08__late_total
Phí hoặc tổng tiền xuất hiện muộn</x:v>
      </x:c>
      <x:c r="Z5" s="13" t="str">
        <x:v>Q08__stock_unclear
Không rõ cỡ, màu còn hàng</x:v>
      </x:c>
      <x:c r="AA5" s="13" t="str">
        <x:v>Q08__tracking_unclear
Thông tin theo dõi đơn chưa rõ</x:v>
      </x:c>
      <x:c r="AB5" s="13" t="str">
        <x:v>Q08__payment_concern
Lo ngại thanh toán trực tuyến</x:v>
      </x:c>
      <x:c r="AC5" s="13" t="str">
        <x:v>Q08__none
Không gặp vấn đề nào</x:v>
      </x:c>
      <x:c r="AD5" s="13" t="str">
        <x:v>Q08__other
Khác</x:v>
      </x:c>
      <x:c r="AE5" s="13" t="str">
        <x:v>Q08_other
Khó khăn khác: mô tả</x:v>
      </x:c>
      <x:c r="AF5" s="13" t="str">
        <x:v>Q09a
Khó khăn lớn nhất</x:v>
      </x:c>
      <x:c r="AG5" s="13" t="str">
        <x:v>Q09b
Tình huống cụ thể</x:v>
      </x:c>
      <x:c r="AH5" s="13" t="str">
        <x:v>Q10
Từng bỏ dở đặt hàng</x:v>
      </x:c>
      <x:c r="AI5" s="13" t="str">
        <x:v>Q11__high_total
Tổng tiền cao hơn dự kiến</x:v>
      </x:c>
      <x:c r="AJ5" s="13" t="str">
        <x:v>Q11__missing_variant
Thiếu cỡ hoặc màu</x:v>
      </x:c>
      <x:c r="AK5" s="13" t="str">
        <x:v>Q11__complex_flow
Quy trình phức tạp</x:v>
      </x:c>
      <x:c r="AL5" s="13" t="str">
        <x:v>Q11__forced_account
Bắt buộc tạo tài khoản</x:v>
      </x:c>
      <x:c r="AM5" s="13" t="str">
        <x:v>Q11__payment_distrust
Không tin tưởng thanh toán</x:v>
      </x:c>
      <x:c r="AN5" s="13" t="str">
        <x:v>Q11__changed_need
Thay đổi nhu cầu</x:v>
      </x:c>
      <x:c r="AO5" s="13" t="str">
        <x:v>Q11__technical_error
Lỗi kỹ thuật</x:v>
      </x:c>
      <x:c r="AP5" s="13" t="str">
        <x:v>Q11__other
Khác</x:v>
      </x:c>
      <x:c r="AQ5" s="13" t="str">
        <x:v>Q11_other
Lý do khác: mô tả</x:v>
      </x:c>
      <x:c r="AR5" s="13" t="str">
        <x:v>Q12__size_measurements
Số đo, cỡ quần áo</x:v>
      </x:c>
      <x:c r="AS5" s="13" t="str">
        <x:v>Q12__detail_photos
Ảnh chi tiết</x:v>
      </x:c>
      <x:c r="AT5" s="13" t="str">
        <x:v>Q12__material
Chất liệu</x:v>
      </x:c>
      <x:c r="AU5" s="13" t="str">
        <x:v>Q12__variant_stock
Cỡ, màu còn hàng</x:v>
      </x:c>
      <x:c r="AV5" s="13" t="str">
        <x:v>Q12__final_total
Tổng tiền cuối</x:v>
      </x:c>
      <x:c r="AW5" s="13" t="str">
        <x:v>Q12__returns_policy
Điều kiện đổi trả</x:v>
      </x:c>
      <x:c r="AX5" s="13" t="str">
        <x:v>Q12__delivery_estimate
Thời gian giao dự kiến</x:v>
      </x:c>
      <x:c r="AY5" s="13" t="str">
        <x:v>Q12__buyer_reviews
Đánh giá người mua</x:v>
      </x:c>
      <x:c r="AZ5" s="13" t="str">
        <x:v>Q12__other
Khác</x:v>
      </x:c>
      <x:c r="BA5" s="13" t="str">
        <x:v>Q12_other
Thông tin khác: mô tả</x:v>
      </x:c>
      <x:c r="BB5" s="13" t="str">
        <x:v>Q13
Cách thanh toán</x:v>
      </x:c>
      <x:c r="BC5" s="13" t="str">
        <x:v>Q13_reason
Lý do chọn thanh toán</x:v>
      </x:c>
      <x:c r="BD5" s="13" t="str">
        <x:v>Q14
Mua không tài khoản</x:v>
      </x:c>
      <x:c r="BE5" s="13" t="str">
        <x:v>Q15__confirmed
Đơn đã xác nhận</x:v>
      </x:c>
      <x:c r="BF5" s="13" t="str">
        <x:v>Q15__preparing
Đang chuẩn bị</x:v>
      </x:c>
      <x:c r="BG5" s="13" t="str">
        <x:v>Q15__handed_over
Đã bàn giao</x:v>
      </x:c>
      <x:c r="BH5" s="13" t="str">
        <x:v>Q15__tracking_number
Mã vận đơn</x:v>
      </x:c>
      <x:c r="BI5" s="13" t="str">
        <x:v>Q15__eta
Ngày giao dự kiến</x:v>
      </x:c>
      <x:c r="BJ5" s="13" t="str">
        <x:v>Q15__per_parcel
Trạng thái từng kiện</x:v>
      </x:c>
      <x:c r="BK5" s="13" t="str">
        <x:v>Q15__failure_and_help
Giao không thành công và cách xử lý</x:v>
      </x:c>
      <x:c r="BL5" s="13" t="str">
        <x:v>Q16
Sẵn sàng mua</x:v>
      </x:c>
      <x:c r="BM5" s="13" t="str">
        <x:v>Q17
Mong muốn cải thiện</x:v>
      </x:c>
    </x:row>
    <x:row r="6" ht="64" customHeight="1">
      <x:c r="A6" s="11" t="str">
        <x:v>SYN-PH-001</x:v>
      </x:c>
      <x:c r="B6" s="11" t="str">
        <x:v>SYN</x:v>
      </x:c>
      <x:c r="C6" s="11" t="str">
        <x:v>N4</x:v>
      </x:c>
      <x:c r="D6" s="14" t="n">
        <x:v>8</x:v>
      </x:c>
      <x:c r="E6" s="16" t="n">
        <x:v>1</x:v>
      </x:c>
      <x:c r="F6" s="16" t="n">
        <x:v>1</x:v>
      </x:c>
      <x:c r="G6" s="11" t="str">
        <x:v>valid</x:v>
      </x:c>
      <x:c r="H6" s="11"/>
      <x:c r="I6" s="11"/>
      <x:c r="J6" s="11" t="str">
        <x:v>yes</x:v>
      </x:c>
      <x:c r="K6" s="11" t="str">
        <x:v>age_18_24</x:v>
      </x:c>
      <x:c r="L6" s="11" t="str">
        <x:v>yes</x:v>
      </x:c>
      <x:c r="M6" s="11" t="str">
        <x:v>hanoi</x:v>
      </x:c>
      <x:c r="N6" s="11" t="str">
        <x:v>every_2_3_months</x:v>
      </x:c>
      <x:c r="O6" s="16" t="n">
        <x:v>1</x:v>
      </x:c>
      <x:c r="P6" s="16" t="n">
        <x:v>1</x:v>
      </x:c>
      <x:c r="Q6" s="16" t="n">
        <x:v>0</x:v>
      </x:c>
      <x:c r="R6" s="16" t="n">
        <x:v>1</x:v>
      </x:c>
      <x:c r="S6" s="16" t="n">
        <x:v>0</x:v>
      </x:c>
      <x:c r="T6" s="11"/>
      <x:c r="U6" s="11" t="str">
        <x:v>v300k_499k</x:v>
      </x:c>
      <x:c r="V6" s="16" t="n">
        <x:v>1</x:v>
      </x:c>
      <x:c r="W6" s="16" t="n">
        <x:v>1</x:v>
      </x:c>
      <x:c r="X6" s="16" t="n">
        <x:v>1</x:v>
      </x:c>
      <x:c r="Y6" s="16" t="n">
        <x:v>0</x:v>
      </x:c>
      <x:c r="Z6" s="16" t="n">
        <x:v>0</x:v>
      </x:c>
      <x:c r="AA6" s="16" t="n">
        <x:v>0</x:v>
      </x:c>
      <x:c r="AB6" s="16" t="n">
        <x:v>0</x:v>
      </x:c>
      <x:c r="AC6" s="16" t="n">
        <x:v>0</x:v>
      </x:c>
      <x:c r="AD6" s="16" t="n">
        <x:v>0</x:v>
      </x:c>
      <x:c r="AE6" s="11"/>
      <x:c r="AF6" s="11" t="str">
        <x:v>photo_mismatch</x:v>
      </x:c>
      <x:c r="AG6" s="11" t="str">
        <x:v>Màu trong ảnh và mô tả thiếu thông tin dưới ánh sáng thường.</x:v>
      </x:c>
      <x:c r="AH6" s="11" t="str">
        <x:v>yes</x:v>
      </x:c>
      <x:c r="AI6" s="16" t="n">
        <x:v>0</x:v>
      </x:c>
      <x:c r="AJ6" s="16" t="n">
        <x:v>0</x:v>
      </x:c>
      <x:c r="AK6" s="16" t="n">
        <x:v>0</x:v>
      </x:c>
      <x:c r="AL6" s="16" t="n">
        <x:v>0</x:v>
      </x:c>
      <x:c r="AM6" s="16" t="n">
        <x:v>0</x:v>
      </x:c>
      <x:c r="AN6" s="16" t="n">
        <x:v>0</x:v>
      </x:c>
      <x:c r="AO6" s="16" t="n">
        <x:v>1</x:v>
      </x:c>
      <x:c r="AP6" s="16" t="n">
        <x:v>0</x:v>
      </x:c>
      <x:c r="AQ6" s="11"/>
      <x:c r="AR6" s="16" t="n">
        <x:v>1</x:v>
      </x:c>
      <x:c r="AS6" s="16" t="n">
        <x:v>1</x:v>
      </x:c>
      <x:c r="AT6" s="16" t="n">
        <x:v>0</x:v>
      </x:c>
      <x:c r="AU6" s="16" t="n">
        <x:v>0</x:v>
      </x:c>
      <x:c r="AV6" s="16" t="n">
        <x:v>0</x:v>
      </x:c>
      <x:c r="AW6" s="16" t="n">
        <x:v>1</x:v>
      </x:c>
      <x:c r="AX6" s="16" t="n">
        <x:v>0</x:v>
      </x:c>
      <x:c r="AY6" s="16" t="n">
        <x:v>0</x:v>
      </x:c>
      <x:c r="AZ6" s="16" t="n">
        <x:v>0</x:v>
      </x:c>
      <x:c r="BA6" s="11"/>
      <x:c r="BB6" s="11" t="str">
        <x:v>prepaid</x:v>
      </x:c>
      <x:c r="BC6" s="11" t="str">
        <x:v>Phương thức này phù hợp ưu đãi của lần mua.</x:v>
      </x:c>
      <x:c r="BD6" s="11" t="str">
        <x:v>depends_on_benefits</x:v>
      </x:c>
      <x:c r="BE6" s="16" t="n">
        <x:v>1</x:v>
      </x:c>
      <x:c r="BF6" s="16" t="n">
        <x:v>1</x:v>
      </x:c>
      <x:c r="BG6" s="16" t="n">
        <x:v>1</x:v>
      </x:c>
      <x:c r="BH6" s="16" t="n">
        <x:v>1</x:v>
      </x:c>
      <x:c r="BI6" s="16" t="n">
        <x:v>1</x:v>
      </x:c>
      <x:c r="BJ6" s="16" t="n">
        <x:v>1</x:v>
      </x:c>
      <x:c r="BK6" s="16" t="n">
        <x:v>1</x:v>
      </x:c>
      <x:c r="BL6" s="11" t="str">
        <x:v>very_willing</x:v>
      </x:c>
      <x:c r="BM6" s="11" t="str">
        <x:v>Cho xem ảnh mặt trước, sau và chi tiết đường may.</x:v>
      </x:c>
    </x:row>
    <x:row r="7" ht="64" customHeight="1">
      <x:c r="A7" s="12" t="str">
        <x:v>SYN-PH-002</x:v>
      </x:c>
      <x:c r="B7" s="12" t="str">
        <x:v>SYN</x:v>
      </x:c>
      <x:c r="C7" s="12" t="str">
        <x:v>N4</x:v>
      </x:c>
      <x:c r="D7" s="15" t="n">
        <x:v>6.7</x:v>
      </x:c>
      <x:c r="E7" s="17" t="n">
        <x:v>1</x:v>
      </x:c>
      <x:c r="F7" s="17" t="n">
        <x:v>1</x:v>
      </x:c>
      <x:c r="G7" s="12" t="str">
        <x:v>valid</x:v>
      </x:c>
      <x:c r="H7" s="12"/>
      <x:c r="I7" s="12"/>
      <x:c r="J7" s="12" t="str">
        <x:v>yes</x:v>
      </x:c>
      <x:c r="K7" s="12" t="str">
        <x:v>age_35_44</x:v>
      </x:c>
      <x:c r="L7" s="12" t="str">
        <x:v>yes</x:v>
      </x:c>
      <x:c r="M7" s="12" t="str">
        <x:v>other_urban</x:v>
      </x:c>
      <x:c r="N7" s="12" t="str">
        <x:v>every_2_3_months</x:v>
      </x:c>
      <x:c r="O7" s="17" t="n">
        <x:v>1</x:v>
      </x:c>
      <x:c r="P7" s="17" t="n">
        <x:v>1</x:v>
      </x:c>
      <x:c r="Q7" s="17" t="n">
        <x:v>0</x:v>
      </x:c>
      <x:c r="R7" s="17" t="n">
        <x:v>0</x:v>
      </x:c>
      <x:c r="S7" s="17" t="n">
        <x:v>0</x:v>
      </x:c>
      <x:c r="T7" s="12"/>
      <x:c r="U7" s="12" t="str">
        <x:v>under_300k</x:v>
      </x:c>
      <x:c r="V7" s="17" t="n">
        <x:v>1</x:v>
      </x:c>
      <x:c r="W7" s="17" t="n">
        <x:v>1</x:v>
      </x:c>
      <x:c r="X7" s="17" t="n">
        <x:v>0</x:v>
      </x:c>
      <x:c r="Y7" s="17" t="n">
        <x:v>1</x:v>
      </x:c>
      <x:c r="Z7" s="17" t="n">
        <x:v>0</x:v>
      </x:c>
      <x:c r="AA7" s="17" t="n">
        <x:v>0</x:v>
      </x:c>
      <x:c r="AB7" s="17" t="n">
        <x:v>0</x:v>
      </x:c>
      <x:c r="AC7" s="17" t="n">
        <x:v>0</x:v>
      </x:c>
      <x:c r="AD7" s="17" t="n">
        <x:v>0</x:v>
      </x:c>
      <x:c r="AE7" s="12"/>
      <x:c r="AF7" s="12" t="str">
        <x:v>size_uncertain</x:v>
      </x:c>
      <x:c r="AG7" s="12" t="str">
        <x:v>Bảng size chỉ có S/M/L nên khó so với số đo áo đang mặc.</x:v>
      </x:c>
      <x:c r="AH7" s="12" t="str">
        <x:v>yes</x:v>
      </x:c>
      <x:c r="AI7" s="17" t="n">
        <x:v>0</x:v>
      </x:c>
      <x:c r="AJ7" s="17" t="n">
        <x:v>0</x:v>
      </x:c>
      <x:c r="AK7" s="17" t="n">
        <x:v>1</x:v>
      </x:c>
      <x:c r="AL7" s="17" t="n">
        <x:v>0</x:v>
      </x:c>
      <x:c r="AM7" s="17" t="n">
        <x:v>0</x:v>
      </x:c>
      <x:c r="AN7" s="17" t="n">
        <x:v>0</x:v>
      </x:c>
      <x:c r="AO7" s="17" t="n">
        <x:v>0</x:v>
      </x:c>
      <x:c r="AP7" s="17" t="n">
        <x:v>0</x:v>
      </x:c>
      <x:c r="AQ7" s="12"/>
      <x:c r="AR7" s="17" t="n">
        <x:v>0</x:v>
      </x:c>
      <x:c r="AS7" s="17" t="n">
        <x:v>1</x:v>
      </x:c>
      <x:c r="AT7" s="17" t="n">
        <x:v>1</x:v>
      </x:c>
      <x:c r="AU7" s="17" t="n">
        <x:v>0</x:v>
      </x:c>
      <x:c r="AV7" s="17" t="n">
        <x:v>1</x:v>
      </x:c>
      <x:c r="AW7" s="17" t="n">
        <x:v>0</x:v>
      </x:c>
      <x:c r="AX7" s="17" t="n">
        <x:v>0</x:v>
      </x:c>
      <x:c r="AY7" s="17" t="n">
        <x:v>0</x:v>
      </x:c>
      <x:c r="AZ7" s="17" t="n">
        <x:v>0</x:v>
      </x:c>
      <x:c r="BA7" s="12"/>
      <x:c r="BB7" s="12" t="str">
        <x:v>other</x:v>
      </x:c>
      <x:c r="BC7" s="12" t="str">
        <x:v>Thanh toán bằng số dư điểm tích lũy của cửa hàng.</x:v>
      </x:c>
      <x:c r="BD7" s="12" t="str">
        <x:v>guest</x:v>
      </x:c>
      <x:c r="BE7" s="17" t="n">
        <x:v>0</x:v>
      </x:c>
      <x:c r="BF7" s="17" t="n">
        <x:v>1</x:v>
      </x:c>
      <x:c r="BG7" s="17" t="n">
        <x:v>1</x:v>
      </x:c>
      <x:c r="BH7" s="17" t="n">
        <x:v>1</x:v>
      </x:c>
      <x:c r="BI7" s="17" t="n">
        <x:v>1</x:v>
      </x:c>
      <x:c r="BJ7" s="17" t="n">
        <x:v>0</x:v>
      </x:c>
      <x:c r="BK7" s="17" t="n">
        <x:v>1</x:v>
      </x:c>
      <x:c r="BL7" s="12" t="str">
        <x:v>fairly_willing</x:v>
      </x:c>
      <x:c r="BM7" s="12" t="str">
        <x:v>Ghi rõ phom áo và số đo người mẫu.</x:v>
      </x:c>
    </x:row>
    <x:row r="8" ht="64" customHeight="1">
      <x:c r="A8" s="11" t="str">
        <x:v>SYN-PH-003</x:v>
      </x:c>
      <x:c r="B8" s="11" t="str">
        <x:v>SYN</x:v>
      </x:c>
      <x:c r="C8" s="11" t="str">
        <x:v>N4</x:v>
      </x:c>
      <x:c r="D8" s="14" t="n">
        <x:v>10.2</x:v>
      </x:c>
      <x:c r="E8" s="16" t="n">
        <x:v>1</x:v>
      </x:c>
      <x:c r="F8" s="16" t="n">
        <x:v>1</x:v>
      </x:c>
      <x:c r="G8" s="11" t="str">
        <x:v>valid</x:v>
      </x:c>
      <x:c r="H8" s="11"/>
      <x:c r="I8" s="11"/>
      <x:c r="J8" s="11" t="str">
        <x:v>yes</x:v>
      </x:c>
      <x:c r="K8" s="11" t="str">
        <x:v>age_18_24</x:v>
      </x:c>
      <x:c r="L8" s="11" t="str">
        <x:v>yes</x:v>
      </x:c>
      <x:c r="M8" s="11" t="str">
        <x:v>hcm</x:v>
      </x:c>
      <x:c r="N8" s="11" t="str">
        <x:v>every_2_3_months</x:v>
      </x:c>
      <x:c r="O8" s="16" t="n">
        <x:v>1</x:v>
      </x:c>
      <x:c r="P8" s="16" t="n">
        <x:v>1</x:v>
      </x:c>
      <x:c r="Q8" s="16" t="n">
        <x:v>0</x:v>
      </x:c>
      <x:c r="R8" s="16" t="n">
        <x:v>0</x:v>
      </x:c>
      <x:c r="S8" s="16" t="n">
        <x:v>0</x:v>
      </x:c>
      <x:c r="T8" s="11"/>
      <x:c r="U8" s="11" t="str">
        <x:v>v300k_499k</x:v>
      </x:c>
      <x:c r="V8" s="16" t="n">
        <x:v>1</x:v>
      </x:c>
      <x:c r="W8" s="16" t="n">
        <x:v>1</x:v>
      </x:c>
      <x:c r="X8" s="16" t="n">
        <x:v>1</x:v>
      </x:c>
      <x:c r="Y8" s="16" t="n">
        <x:v>1</x:v>
      </x:c>
      <x:c r="Z8" s="16" t="n">
        <x:v>0</x:v>
      </x:c>
      <x:c r="AA8" s="16" t="n">
        <x:v>0</x:v>
      </x:c>
      <x:c r="AB8" s="16" t="n">
        <x:v>0</x:v>
      </x:c>
      <x:c r="AC8" s="16" t="n">
        <x:v>0</x:v>
      </x:c>
      <x:c r="AD8" s="16" t="n">
        <x:v>0</x:v>
      </x:c>
      <x:c r="AE8" s="11"/>
      <x:c r="AF8" s="11" t="str">
        <x:v>late_total</x:v>
      </x:c>
      <x:c r="AG8" s="11" t="str">
        <x:v>Phí giao chỉ hiện ở bước xác nhận cuối.</x:v>
      </x:c>
      <x:c r="AH8" s="11" t="str">
        <x:v>no</x:v>
      </x:c>
      <x:c r="AI8" s="16"/>
      <x:c r="AJ8" s="16"/>
      <x:c r="AK8" s="16"/>
      <x:c r="AL8" s="16"/>
      <x:c r="AM8" s="16"/>
      <x:c r="AN8" s="16"/>
      <x:c r="AO8" s="16"/>
      <x:c r="AP8" s="16"/>
      <x:c r="AQ8" s="11"/>
      <x:c r="AR8" s="16" t="n">
        <x:v>1</x:v>
      </x:c>
      <x:c r="AS8" s="16" t="n">
        <x:v>1</x:v>
      </x:c>
      <x:c r="AT8" s="16" t="n">
        <x:v>0</x:v>
      </x:c>
      <x:c r="AU8" s="16" t="n">
        <x:v>0</x:v>
      </x:c>
      <x:c r="AV8" s="16" t="n">
        <x:v>1</x:v>
      </x:c>
      <x:c r="AW8" s="16" t="n">
        <x:v>0</x:v>
      </x:c>
      <x:c r="AX8" s="16" t="n">
        <x:v>0</x:v>
      </x:c>
      <x:c r="AY8" s="16" t="n">
        <x:v>0</x:v>
      </x:c>
      <x:c r="AZ8" s="16" t="n">
        <x:v>0</x:v>
      </x:c>
      <x:c r="BA8" s="11"/>
      <x:c r="BB8" s="11" t="str">
        <x:v>prepaid</x:v>
      </x:c>
      <x:c r="BC8" s="11" t="str">
        <x:v>Tiện cho người nhận không cần chuẩn bị tiền.</x:v>
      </x:c>
      <x:c r="BD8" s="11" t="str">
        <x:v>depends_on_benefits</x:v>
      </x:c>
      <x:c r="BE8" s="16" t="n">
        <x:v>1</x:v>
      </x:c>
      <x:c r="BF8" s="16" t="n">
        <x:v>0</x:v>
      </x:c>
      <x:c r="BG8" s="16" t="n">
        <x:v>1</x:v>
      </x:c>
      <x:c r="BH8" s="16" t="n">
        <x:v>1</x:v>
      </x:c>
      <x:c r="BI8" s="16" t="n">
        <x:v>1</x:v>
      </x:c>
      <x:c r="BJ8" s="16" t="n">
        <x:v>0</x:v>
      </x:c>
      <x:c r="BK8" s="16" t="n">
        <x:v>0</x:v>
      </x:c>
      <x:c r="BL8" s="11" t="str">
        <x:v>fairly_willing</x:v>
      </x:c>
      <x:c r="BM8" s="11" t="str">
        <x:v>Hiển thị tổng tiền gồm phí giao trước khi xác nhận.</x:v>
      </x:c>
    </x:row>
    <x:row r="9" ht="64" customHeight="1">
      <x:c r="A9" s="12" t="str">
        <x:v>SYN-PH-004</x:v>
      </x:c>
      <x:c r="B9" s="12" t="str">
        <x:v>SYN</x:v>
      </x:c>
      <x:c r="C9" s="12" t="str">
        <x:v>N4</x:v>
      </x:c>
      <x:c r="D9" s="15" t="n">
        <x:v>1.5</x:v>
      </x:c>
      <x:c r="E9" s="17" t="n">
        <x:v>0</x:v>
      </x:c>
      <x:c r="F9" s="17" t="n">
        <x:v>0</x:v>
      </x:c>
      <x:c r="G9" s="12" t="str">
        <x:v>excluded</x:v>
      </x:c>
      <x:c r="H9" s="12" t="str">
        <x:v>no_recent_purchase</x:v>
      </x:c>
      <x:c r="I9" s="12"/>
      <x:c r="J9" s="12" t="str">
        <x:v>yes</x:v>
      </x:c>
      <x:c r="K9" s="12" t="str">
        <x:v>age_18_24</x:v>
      </x:c>
      <x:c r="L9" s="12" t="str">
        <x:v>no</x:v>
      </x:c>
      <x:c r="M9" s="12"/>
      <x:c r="N9" s="12"/>
      <x:c r="O9" s="17"/>
      <x:c r="P9" s="17"/>
      <x:c r="Q9" s="17"/>
      <x:c r="R9" s="17"/>
      <x:c r="S9" s="17"/>
      <x:c r="T9" s="12"/>
      <x:c r="U9" s="12"/>
      <x:c r="V9" s="17"/>
      <x:c r="W9" s="17"/>
      <x:c r="X9" s="17"/>
      <x:c r="Y9" s="17"/>
      <x:c r="Z9" s="17"/>
      <x:c r="AA9" s="17"/>
      <x:c r="AB9" s="17"/>
      <x:c r="AC9" s="17"/>
      <x:c r="AD9" s="17"/>
      <x:c r="AE9" s="12"/>
      <x:c r="AF9" s="12"/>
      <x:c r="AG9" s="12"/>
      <x:c r="AH9" s="12"/>
      <x:c r="AI9" s="17"/>
      <x:c r="AJ9" s="17"/>
      <x:c r="AK9" s="17"/>
      <x:c r="AL9" s="17"/>
      <x:c r="AM9" s="17"/>
      <x:c r="AN9" s="17"/>
      <x:c r="AO9" s="17"/>
      <x:c r="AP9" s="17"/>
      <x:c r="AQ9" s="12"/>
      <x:c r="AR9" s="17"/>
      <x:c r="AS9" s="17"/>
      <x:c r="AT9" s="17"/>
      <x:c r="AU9" s="17"/>
      <x:c r="AV9" s="17"/>
      <x:c r="AW9" s="17"/>
      <x:c r="AX9" s="17"/>
      <x:c r="AY9" s="17"/>
      <x:c r="AZ9" s="17"/>
      <x:c r="BA9" s="12"/>
      <x:c r="BB9" s="12"/>
      <x:c r="BC9" s="12"/>
      <x:c r="BD9" s="12"/>
      <x:c r="BE9" s="17"/>
      <x:c r="BF9" s="17"/>
      <x:c r="BG9" s="17"/>
      <x:c r="BH9" s="17"/>
      <x:c r="BI9" s="17"/>
      <x:c r="BJ9" s="17"/>
      <x:c r="BK9" s="17"/>
      <x:c r="BL9" s="12"/>
      <x:c r="BM9" s="12"/>
    </x:row>
    <x:row r="10" ht="64" customHeight="1">
      <x:c r="A10" s="11" t="str">
        <x:v>SYN-PH-005</x:v>
      </x:c>
      <x:c r="B10" s="11" t="str">
        <x:v>SYN</x:v>
      </x:c>
      <x:c r="C10" s="11" t="str">
        <x:v>N4</x:v>
      </x:c>
      <x:c r="D10" s="14" t="n">
        <x:v>1.1</x:v>
      </x:c>
      <x:c r="E10" s="16" t="n">
        <x:v>0</x:v>
      </x:c>
      <x:c r="F10" s="16" t="n">
        <x:v>0</x:v>
      </x:c>
      <x:c r="G10" s="11" t="str">
        <x:v>excluded</x:v>
      </x:c>
      <x:c r="H10" s="11" t="str">
        <x:v>no_recent_purchase</x:v>
      </x:c>
      <x:c r="I10" s="11"/>
      <x:c r="J10" s="11" t="str">
        <x:v>yes</x:v>
      </x:c>
      <x:c r="K10" s="11" t="str">
        <x:v>age_25_34</x:v>
      </x:c>
      <x:c r="L10" s="11" t="str">
        <x:v>no</x:v>
      </x:c>
      <x:c r="M10" s="11"/>
      <x:c r="N10" s="11"/>
      <x:c r="O10" s="16"/>
      <x:c r="P10" s="16"/>
      <x:c r="Q10" s="16"/>
      <x:c r="R10" s="16"/>
      <x:c r="S10" s="16"/>
      <x:c r="T10" s="11"/>
      <x:c r="U10" s="11"/>
      <x:c r="V10" s="16"/>
      <x:c r="W10" s="16"/>
      <x:c r="X10" s="16"/>
      <x:c r="Y10" s="16"/>
      <x:c r="Z10" s="16"/>
      <x:c r="AA10" s="16"/>
      <x:c r="AB10" s="16"/>
      <x:c r="AC10" s="16"/>
      <x:c r="AD10" s="16"/>
      <x:c r="AE10" s="11"/>
      <x:c r="AF10" s="11"/>
      <x:c r="AG10" s="11"/>
      <x:c r="AH10" s="11"/>
      <x:c r="AI10" s="16"/>
      <x:c r="AJ10" s="16"/>
      <x:c r="AK10" s="16"/>
      <x:c r="AL10" s="16"/>
      <x:c r="AM10" s="16"/>
      <x:c r="AN10" s="16"/>
      <x:c r="AO10" s="16"/>
      <x:c r="AP10" s="16"/>
      <x:c r="AQ10" s="11"/>
      <x:c r="AR10" s="16"/>
      <x:c r="AS10" s="16"/>
      <x:c r="AT10" s="16"/>
      <x:c r="AU10" s="16"/>
      <x:c r="AV10" s="16"/>
      <x:c r="AW10" s="16"/>
      <x:c r="AX10" s="16"/>
      <x:c r="AY10" s="16"/>
      <x:c r="AZ10" s="16"/>
      <x:c r="BA10" s="11"/>
      <x:c r="BB10" s="11"/>
      <x:c r="BC10" s="11"/>
      <x:c r="BD10" s="11"/>
      <x:c r="BE10" s="16"/>
      <x:c r="BF10" s="16"/>
      <x:c r="BG10" s="16"/>
      <x:c r="BH10" s="16"/>
      <x:c r="BI10" s="16"/>
      <x:c r="BJ10" s="16"/>
      <x:c r="BK10" s="16"/>
      <x:c r="BL10" s="11"/>
      <x:c r="BM10" s="11"/>
    </x:row>
    <x:row r="11" ht="64" customHeight="1">
      <x:c r="A11" s="12" t="str">
        <x:v>SYN-PH-006</x:v>
      </x:c>
      <x:c r="B11" s="12" t="str">
        <x:v>SYN</x:v>
      </x:c>
      <x:c r="C11" s="12" t="str">
        <x:v>N4</x:v>
      </x:c>
      <x:c r="D11" s="15" t="n">
        <x:v>10.4</x:v>
      </x:c>
      <x:c r="E11" s="17" t="n">
        <x:v>1</x:v>
      </x:c>
      <x:c r="F11" s="17" t="n">
        <x:v>1</x:v>
      </x:c>
      <x:c r="G11" s="12" t="str">
        <x:v>valid</x:v>
      </x:c>
      <x:c r="H11" s="12"/>
      <x:c r="I11" s="12"/>
      <x:c r="J11" s="12" t="str">
        <x:v>yes</x:v>
      </x:c>
      <x:c r="K11" s="12" t="str">
        <x:v>age_35_44</x:v>
      </x:c>
      <x:c r="L11" s="12" t="str">
        <x:v>yes</x:v>
      </x:c>
      <x:c r="M11" s="12" t="str">
        <x:v>hanoi</x:v>
      </x:c>
      <x:c r="N11" s="12" t="str">
        <x:v>monthly_2_3</x:v>
      </x:c>
      <x:c r="O11" s="17" t="n">
        <x:v>1</x:v>
      </x:c>
      <x:c r="P11" s="17" t="n">
        <x:v>1</x:v>
      </x:c>
      <x:c r="Q11" s="17" t="n">
        <x:v>0</x:v>
      </x:c>
      <x:c r="R11" s="17" t="n">
        <x:v>0</x:v>
      </x:c>
      <x:c r="S11" s="17" t="n">
        <x:v>0</x:v>
      </x:c>
      <x:c r="T11" s="12"/>
      <x:c r="U11" s="12" t="str">
        <x:v>at_least_1200k</x:v>
      </x:c>
      <x:c r="V11" s="17" t="n">
        <x:v>0</x:v>
      </x:c>
      <x:c r="W11" s="17" t="n">
        <x:v>1</x:v>
      </x:c>
      <x:c r="X11" s="17" t="n">
        <x:v>0</x:v>
      </x:c>
      <x:c r="Y11" s="17" t="n">
        <x:v>0</x:v>
      </x:c>
      <x:c r="Z11" s="17" t="n">
        <x:v>0</x:v>
      </x:c>
      <x:c r="AA11" s="17" t="n">
        <x:v>0</x:v>
      </x:c>
      <x:c r="AB11" s="17" t="n">
        <x:v>1</x:v>
      </x:c>
      <x:c r="AC11" s="17" t="n">
        <x:v>0</x:v>
      </x:c>
      <x:c r="AD11" s="17" t="n">
        <x:v>0</x:v>
      </x:c>
      <x:c r="AE11" s="12"/>
      <x:c r="AF11" s="12" t="str">
        <x:v>payment_concern</x:v>
      </x:c>
      <x:c r="AG11" s="12" t="str">
        <x:v>Cần nhận diện rõ nơi xử lý thanh toán trước khi tiếp tục.</x:v>
      </x:c>
      <x:c r="AH11" s="12" t="str">
        <x:v>no</x:v>
      </x:c>
      <x:c r="AI11" s="17"/>
      <x:c r="AJ11" s="17"/>
      <x:c r="AK11" s="17"/>
      <x:c r="AL11" s="17"/>
      <x:c r="AM11" s="17"/>
      <x:c r="AN11" s="17"/>
      <x:c r="AO11" s="17"/>
      <x:c r="AP11" s="17"/>
      <x:c r="AQ11" s="12"/>
      <x:c r="AR11" s="17" t="n">
        <x:v>1</x:v>
      </x:c>
      <x:c r="AS11" s="17" t="n">
        <x:v>0</x:v>
      </x:c>
      <x:c r="AT11" s="17" t="n">
        <x:v>0</x:v>
      </x:c>
      <x:c r="AU11" s="17" t="n">
        <x:v>0</x:v>
      </x:c>
      <x:c r="AV11" s="17" t="n">
        <x:v>0</x:v>
      </x:c>
      <x:c r="AW11" s="17" t="n">
        <x:v>1</x:v>
      </x:c>
      <x:c r="AX11" s="17" t="n">
        <x:v>1</x:v>
      </x:c>
      <x:c r="AY11" s="17" t="n">
        <x:v>0</x:v>
      </x:c>
      <x:c r="AZ11" s="17" t="n">
        <x:v>0</x:v>
      </x:c>
      <x:c r="BA11" s="12"/>
      <x:c r="BB11" s="12" t="str">
        <x:v>cod</x:v>
      </x:c>
      <x:c r="BC11" s="12" t="str">
        <x:v>Muốn nhận hàng rồi mới thanh toán.</x:v>
      </x:c>
      <x:c r="BD11" s="12" t="str">
        <x:v>depends_on_benefits</x:v>
      </x:c>
      <x:c r="BE11" s="17" t="n">
        <x:v>1</x:v>
      </x:c>
      <x:c r="BF11" s="17" t="n">
        <x:v>1</x:v>
      </x:c>
      <x:c r="BG11" s="17" t="n">
        <x:v>1</x:v>
      </x:c>
      <x:c r="BH11" s="17" t="n">
        <x:v>1</x:v>
      </x:c>
      <x:c r="BI11" s="17" t="n">
        <x:v>1</x:v>
      </x:c>
      <x:c r="BJ11" s="17" t="n">
        <x:v>1</x:v>
      </x:c>
      <x:c r="BK11" s="17" t="n">
        <x:v>1</x:v>
      </x:c>
      <x:c r="BL11" s="12" t="str">
        <x:v>very_willing</x:v>
      </x:c>
      <x:c r="BM11" s="12" t="str">
        <x:v>Cho tra cứu trạng thái đơn sau khi thanh toán bị gián đoạn.</x:v>
      </x:c>
    </x:row>
    <x:row r="12" ht="64" customHeight="1">
      <x:c r="A12" s="11" t="str">
        <x:v>SYN-PH-007</x:v>
      </x:c>
      <x:c r="B12" s="11" t="str">
        <x:v>SYN</x:v>
      </x:c>
      <x:c r="C12" s="11" t="str">
        <x:v>N4</x:v>
      </x:c>
      <x:c r="D12" s="14" t="n">
        <x:v>7.2</x:v>
      </x:c>
      <x:c r="E12" s="16" t="n">
        <x:v>1</x:v>
      </x:c>
      <x:c r="F12" s="16" t="n">
        <x:v>1</x:v>
      </x:c>
      <x:c r="G12" s="11" t="str">
        <x:v>valid</x:v>
      </x:c>
      <x:c r="H12" s="11"/>
      <x:c r="I12" s="11"/>
      <x:c r="J12" s="11" t="str">
        <x:v>yes</x:v>
      </x:c>
      <x:c r="K12" s="11" t="str">
        <x:v>age_35_44</x:v>
      </x:c>
      <x:c r="L12" s="11" t="str">
        <x:v>yes</x:v>
      </x:c>
      <x:c r="M12" s="11" t="str">
        <x:v>other_urban</x:v>
      </x:c>
      <x:c r="N12" s="11" t="str">
        <x:v>weekly</x:v>
      </x:c>
      <x:c r="O12" s="16" t="n">
        <x:v>1</x:v>
      </x:c>
      <x:c r="P12" s="16" t="n">
        <x:v>0</x:v>
      </x:c>
      <x:c r="Q12" s="16" t="n">
        <x:v>0</x:v>
      </x:c>
      <x:c r="R12" s="16" t="n">
        <x:v>1</x:v>
      </x:c>
      <x:c r="S12" s="16" t="n">
        <x:v>0</x:v>
      </x:c>
      <x:c r="T12" s="11"/>
      <x:c r="U12" s="11" t="str">
        <x:v>v500k_799k</x:v>
      </x:c>
      <x:c r="V12" s="16" t="n">
        <x:v>1</x:v>
      </x:c>
      <x:c r="W12" s="16" t="n">
        <x:v>0</x:v>
      </x:c>
      <x:c r="X12" s="16" t="n">
        <x:v>1</x:v>
      </x:c>
      <x:c r="Y12" s="16" t="n">
        <x:v>1</x:v>
      </x:c>
      <x:c r="Z12" s="16" t="n">
        <x:v>0</x:v>
      </x:c>
      <x:c r="AA12" s="16" t="n">
        <x:v>1</x:v>
      </x:c>
      <x:c r="AB12" s="16" t="n">
        <x:v>1</x:v>
      </x:c>
      <x:c r="AC12" s="16" t="n">
        <x:v>0</x:v>
      </x:c>
      <x:c r="AD12" s="16" t="n">
        <x:v>0</x:v>
      </x:c>
      <x:c r="AE12" s="11"/>
      <x:c r="AF12" s="11" t="str">
        <x:v>size_uncertain</x:v>
      </x:c>
      <x:c r="AG12" s="11" t="str">
        <x:v>Không có số đo vai và chiều dài để chọn size.</x:v>
      </x:c>
      <x:c r="AH12" s="11" t="str">
        <x:v>no</x:v>
      </x:c>
      <x:c r="AI12" s="16"/>
      <x:c r="AJ12" s="16"/>
      <x:c r="AK12" s="16"/>
      <x:c r="AL12" s="16"/>
      <x:c r="AM12" s="16"/>
      <x:c r="AN12" s="16"/>
      <x:c r="AO12" s="16"/>
      <x:c r="AP12" s="16"/>
      <x:c r="AQ12" s="11"/>
      <x:c r="AR12" s="16" t="n">
        <x:v>1</x:v>
      </x:c>
      <x:c r="AS12" s="16" t="n">
        <x:v>0</x:v>
      </x:c>
      <x:c r="AT12" s="16" t="n">
        <x:v>1</x:v>
      </x:c>
      <x:c r="AU12" s="16" t="n">
        <x:v>0</x:v>
      </x:c>
      <x:c r="AV12" s="16" t="n">
        <x:v>0</x:v>
      </x:c>
      <x:c r="AW12" s="16" t="n">
        <x:v>0</x:v>
      </x:c>
      <x:c r="AX12" s="16" t="n">
        <x:v>0</x:v>
      </x:c>
      <x:c r="AY12" s="16" t="n">
        <x:v>0</x:v>
      </x:c>
      <x:c r="AZ12" s="16" t="n">
        <x:v>0</x:v>
      </x:c>
      <x:c r="BA12" s="11"/>
      <x:c r="BB12" s="11" t="str">
        <x:v>cod</x:v>
      </x:c>
      <x:c r="BC12" s="11" t="str">
        <x:v>Quen thanh toán lúc giao hàng.</x:v>
      </x:c>
      <x:c r="BD12" s="11" t="str">
        <x:v>unsure</x:v>
      </x:c>
      <x:c r="BE12" s="16" t="n">
        <x:v>1</x:v>
      </x:c>
      <x:c r="BF12" s="16" t="n">
        <x:v>1</x:v>
      </x:c>
      <x:c r="BG12" s="16" t="n">
        <x:v>0</x:v>
      </x:c>
      <x:c r="BH12" s="16" t="n">
        <x:v>1</x:v>
      </x:c>
      <x:c r="BI12" s="16" t="n">
        <x:v>1</x:v>
      </x:c>
      <x:c r="BJ12" s="16" t="n">
        <x:v>1</x:v>
      </x:c>
      <x:c r="BK12" s="16" t="n">
        <x:v>1</x:v>
      </x:c>
      <x:c r="BL12" s="11" t="str">
        <x:v>fairly_willing</x:v>
      </x:c>
      <x:c r="BM12" s="11" t="str">
        <x:v>Thêm bảng số đo chi tiết theo từng mẫu.</x:v>
      </x:c>
    </x:row>
    <x:row r="13" ht="64" customHeight="1">
      <x:c r="A13" s="12" t="str">
        <x:v>SYN-PH-008</x:v>
      </x:c>
      <x:c r="B13" s="12" t="str">
        <x:v>SYN</x:v>
      </x:c>
      <x:c r="C13" s="12" t="str">
        <x:v>N4</x:v>
      </x:c>
      <x:c r="D13" s="15" t="n">
        <x:v>2.2</x:v>
      </x:c>
      <x:c r="E13" s="17" t="n">
        <x:v>1</x:v>
      </x:c>
      <x:c r="F13" s="17" t="n">
        <x:v>0</x:v>
      </x:c>
      <x:c r="G13" s="12" t="str">
        <x:v>excluded</x:v>
      </x:c>
      <x:c r="H13" s="12" t="str">
        <x:v>incomplete</x:v>
      </x:c>
      <x:c r="I13" s="12"/>
      <x:c r="J13" s="12" t="str">
        <x:v>yes</x:v>
      </x:c>
      <x:c r="K13" s="12" t="str">
        <x:v>age_18_24</x:v>
      </x:c>
      <x:c r="L13" s="12" t="str">
        <x:v>yes</x:v>
      </x:c>
      <x:c r="M13" s="12" t="str">
        <x:v>hcm</x:v>
      </x:c>
      <x:c r="N13" s="12" t="str">
        <x:v>every_2_3_months</x:v>
      </x:c>
      <x:c r="O13" s="17"/>
      <x:c r="P13" s="17"/>
      <x:c r="Q13" s="17"/>
      <x:c r="R13" s="17"/>
      <x:c r="S13" s="17"/>
      <x:c r="T13" s="12"/>
      <x:c r="U13" s="12"/>
      <x:c r="V13" s="17"/>
      <x:c r="W13" s="17"/>
      <x:c r="X13" s="17"/>
      <x:c r="Y13" s="17"/>
      <x:c r="Z13" s="17"/>
      <x:c r="AA13" s="17"/>
      <x:c r="AB13" s="17"/>
      <x:c r="AC13" s="17"/>
      <x:c r="AD13" s="17"/>
      <x:c r="AE13" s="12"/>
      <x:c r="AF13" s="12"/>
      <x:c r="AG13" s="12"/>
      <x:c r="AH13" s="12"/>
      <x:c r="AI13" s="17"/>
      <x:c r="AJ13" s="17"/>
      <x:c r="AK13" s="17"/>
      <x:c r="AL13" s="17"/>
      <x:c r="AM13" s="17"/>
      <x:c r="AN13" s="17"/>
      <x:c r="AO13" s="17"/>
      <x:c r="AP13" s="17"/>
      <x:c r="AQ13" s="12"/>
      <x:c r="AR13" s="17"/>
      <x:c r="AS13" s="17"/>
      <x:c r="AT13" s="17"/>
      <x:c r="AU13" s="17"/>
      <x:c r="AV13" s="17"/>
      <x:c r="AW13" s="17"/>
      <x:c r="AX13" s="17"/>
      <x:c r="AY13" s="17"/>
      <x:c r="AZ13" s="17"/>
      <x:c r="BA13" s="12"/>
      <x:c r="BB13" s="12"/>
      <x:c r="BC13" s="12"/>
      <x:c r="BD13" s="12"/>
      <x:c r="BE13" s="17"/>
      <x:c r="BF13" s="17"/>
      <x:c r="BG13" s="17"/>
      <x:c r="BH13" s="17"/>
      <x:c r="BI13" s="17"/>
      <x:c r="BJ13" s="17"/>
      <x:c r="BK13" s="17"/>
      <x:c r="BL13" s="12"/>
      <x:c r="BM13" s="12"/>
    </x:row>
    <x:row r="14" ht="64" customHeight="1">
      <x:c r="A14" s="11" t="str">
        <x:v>SYN-PH-009</x:v>
      </x:c>
      <x:c r="B14" s="11" t="str">
        <x:v>SYN</x:v>
      </x:c>
      <x:c r="C14" s="11" t="str">
        <x:v>N4</x:v>
      </x:c>
      <x:c r="D14" s="14" t="n">
        <x:v>8.6</x:v>
      </x:c>
      <x:c r="E14" s="16" t="n">
        <x:v>1</x:v>
      </x:c>
      <x:c r="F14" s="16" t="n">
        <x:v>1</x:v>
      </x:c>
      <x:c r="G14" s="11" t="str">
        <x:v>valid</x:v>
      </x:c>
      <x:c r="H14" s="11"/>
      <x:c r="I14" s="11"/>
      <x:c r="J14" s="11" t="str">
        <x:v>yes</x:v>
      </x:c>
      <x:c r="K14" s="11" t="str">
        <x:v>age_25_34</x:v>
      </x:c>
      <x:c r="L14" s="11" t="str">
        <x:v>yes</x:v>
      </x:c>
      <x:c r="M14" s="11" t="str">
        <x:v>nonurban</x:v>
      </x:c>
      <x:c r="N14" s="11" t="str">
        <x:v>every_2_3_months</x:v>
      </x:c>
      <x:c r="O14" s="16" t="n">
        <x:v>1</x:v>
      </x:c>
      <x:c r="P14" s="16" t="n">
        <x:v>0</x:v>
      </x:c>
      <x:c r="Q14" s="16" t="n">
        <x:v>0</x:v>
      </x:c>
      <x:c r="R14" s="16" t="n">
        <x:v>0</x:v>
      </x:c>
      <x:c r="S14" s="16" t="n">
        <x:v>0</x:v>
      </x:c>
      <x:c r="T14" s="11"/>
      <x:c r="U14" s="11" t="str">
        <x:v>v500k_799k</x:v>
      </x:c>
      <x:c r="V14" s="16" t="n">
        <x:v>1</x:v>
      </x:c>
      <x:c r="W14" s="16" t="n">
        <x:v>1</x:v>
      </x:c>
      <x:c r="X14" s="16" t="n">
        <x:v>0</x:v>
      </x:c>
      <x:c r="Y14" s="16" t="n">
        <x:v>0</x:v>
      </x:c>
      <x:c r="Z14" s="16" t="n">
        <x:v>0</x:v>
      </x:c>
      <x:c r="AA14" s="16" t="n">
        <x:v>1</x:v>
      </x:c>
      <x:c r="AB14" s="16" t="n">
        <x:v>1</x:v>
      </x:c>
      <x:c r="AC14" s="16" t="n">
        <x:v>0</x:v>
      </x:c>
      <x:c r="AD14" s="16" t="n">
        <x:v>0</x:v>
      </x:c>
      <x:c r="AE14" s="11"/>
      <x:c r="AF14" s="11" t="str">
        <x:v>tracking_unclear</x:v>
      </x:c>
      <x:c r="AG14" s="11" t="str">
        <x:v>Ngày giao dự kiến thay đổi mà thiếu giải thích.</x:v>
      </x:c>
      <x:c r="AH14" s="11" t="str">
        <x:v>yes</x:v>
      </x:c>
      <x:c r="AI14" s="16" t="n">
        <x:v>0</x:v>
      </x:c>
      <x:c r="AJ14" s="16" t="n">
        <x:v>0</x:v>
      </x:c>
      <x:c r="AK14" s="16" t="n">
        <x:v>1</x:v>
      </x:c>
      <x:c r="AL14" s="16" t="n">
        <x:v>0</x:v>
      </x:c>
      <x:c r="AM14" s="16" t="n">
        <x:v>1</x:v>
      </x:c>
      <x:c r="AN14" s="16" t="n">
        <x:v>0</x:v>
      </x:c>
      <x:c r="AO14" s="16" t="n">
        <x:v>0</x:v>
      </x:c>
      <x:c r="AP14" s="16" t="n">
        <x:v>0</x:v>
      </x:c>
      <x:c r="AQ14" s="11"/>
      <x:c r="AR14" s="16" t="n">
        <x:v>1</x:v>
      </x:c>
      <x:c r="AS14" s="16" t="n">
        <x:v>0</x:v>
      </x:c>
      <x:c r="AT14" s="16" t="n">
        <x:v>0</x:v>
      </x:c>
      <x:c r="AU14" s="16" t="n">
        <x:v>0</x:v>
      </x:c>
      <x:c r="AV14" s="16" t="n">
        <x:v>1</x:v>
      </x:c>
      <x:c r="AW14" s="16" t="n">
        <x:v>1</x:v>
      </x:c>
      <x:c r="AX14" s="16" t="n">
        <x:v>0</x:v>
      </x:c>
      <x:c r="AY14" s="16" t="n">
        <x:v>0</x:v>
      </x:c>
      <x:c r="AZ14" s="16" t="n">
        <x:v>0</x:v>
      </x:c>
      <x:c r="BA14" s="11"/>
      <x:c r="BB14" s="11" t="str">
        <x:v>cod</x:v>
      </x:c>
      <x:c r="BC14" s="11" t="str">
        <x:v>Thuận tiện với cách nhận hàng gần đây.</x:v>
      </x:c>
      <x:c r="BD14" s="11" t="str">
        <x:v>depends_on_benefits</x:v>
      </x:c>
      <x:c r="BE14" s="16" t="n">
        <x:v>1</x:v>
      </x:c>
      <x:c r="BF14" s="16" t="n">
        <x:v>1</x:v>
      </x:c>
      <x:c r="BG14" s="16" t="n">
        <x:v>1</x:v>
      </x:c>
      <x:c r="BH14" s="16" t="n">
        <x:v>0</x:v>
      </x:c>
      <x:c r="BI14" s="16" t="n">
        <x:v>1</x:v>
      </x:c>
      <x:c r="BJ14" s="16" t="n">
        <x:v>1</x:v>
      </x:c>
      <x:c r="BK14" s="16" t="n">
        <x:v>1</x:v>
      </x:c>
      <x:c r="BL14" s="11" t="str">
        <x:v>fairly_willing</x:v>
      </x:c>
      <x:c r="BM14" s="11" t="str">
        <x:v>Nêu rõ bước xử lý khi giao không thành công.</x:v>
      </x:c>
    </x:row>
    <x:row r="15" ht="64" customHeight="1">
      <x:c r="A15" s="12" t="str">
        <x:v>SYN-PH-010</x:v>
      </x:c>
      <x:c r="B15" s="12" t="str">
        <x:v>SYN</x:v>
      </x:c>
      <x:c r="C15" s="12" t="str">
        <x:v>N4</x:v>
      </x:c>
      <x:c r="D15" s="15" t="n">
        <x:v>8.8</x:v>
      </x:c>
      <x:c r="E15" s="17" t="n">
        <x:v>1</x:v>
      </x:c>
      <x:c r="F15" s="17" t="n">
        <x:v>1</x:v>
      </x:c>
      <x:c r="G15" s="12" t="str">
        <x:v>valid</x:v>
      </x:c>
      <x:c r="H15" s="12"/>
      <x:c r="I15" s="12"/>
      <x:c r="J15" s="12" t="str">
        <x:v>yes</x:v>
      </x:c>
      <x:c r="K15" s="12" t="str">
        <x:v>age_35_44</x:v>
      </x:c>
      <x:c r="L15" s="12" t="str">
        <x:v>yes</x:v>
      </x:c>
      <x:c r="M15" s="12" t="str">
        <x:v>danang</x:v>
      </x:c>
      <x:c r="N15" s="12" t="str">
        <x:v>every_2_3_months</x:v>
      </x:c>
      <x:c r="O15" s="17" t="n">
        <x:v>1</x:v>
      </x:c>
      <x:c r="P15" s="17" t="n">
        <x:v>0</x:v>
      </x:c>
      <x:c r="Q15" s="17" t="n">
        <x:v>0</x:v>
      </x:c>
      <x:c r="R15" s="17" t="n">
        <x:v>0</x:v>
      </x:c>
      <x:c r="S15" s="17" t="n">
        <x:v>0</x:v>
      </x:c>
      <x:c r="T15" s="12"/>
      <x:c r="U15" s="12" t="str">
        <x:v>under_300k</x:v>
      </x:c>
      <x:c r="V15" s="17" t="n">
        <x:v>0</x:v>
      </x:c>
      <x:c r="W15" s="17" t="n">
        <x:v>1</x:v>
      </x:c>
      <x:c r="X15" s="17" t="n">
        <x:v>1</x:v>
      </x:c>
      <x:c r="Y15" s="17" t="n">
        <x:v>0</x:v>
      </x:c>
      <x:c r="Z15" s="17" t="n">
        <x:v>0</x:v>
      </x:c>
      <x:c r="AA15" s="17" t="n">
        <x:v>0</x:v>
      </x:c>
      <x:c r="AB15" s="17" t="n">
        <x:v>0</x:v>
      </x:c>
      <x:c r="AC15" s="17" t="n">
        <x:v>0</x:v>
      </x:c>
      <x:c r="AD15" s="17" t="n">
        <x:v>0</x:v>
      </x:c>
      <x:c r="AE15" s="12"/>
      <x:c r="AF15" s="12" t="str">
        <x:v>returns_unclear</x:v>
      </x:c>
      <x:c r="AG15" s="12" t="str">
        <x:v>Khó tìm thời hạn đổi size trước khi đặt.</x:v>
      </x:c>
      <x:c r="AH15" s="12" t="str">
        <x:v>yes</x:v>
      </x:c>
      <x:c r="AI15" s="17" t="n">
        <x:v>1</x:v>
      </x:c>
      <x:c r="AJ15" s="17" t="n">
        <x:v>0</x:v>
      </x:c>
      <x:c r="AK15" s="17" t="n">
        <x:v>0</x:v>
      </x:c>
      <x:c r="AL15" s="17" t="n">
        <x:v>1</x:v>
      </x:c>
      <x:c r="AM15" s="17" t="n">
        <x:v>0</x:v>
      </x:c>
      <x:c r="AN15" s="17" t="n">
        <x:v>1</x:v>
      </x:c>
      <x:c r="AO15" s="17" t="n">
        <x:v>0</x:v>
      </x:c>
      <x:c r="AP15" s="17" t="n">
        <x:v>0</x:v>
      </x:c>
      <x:c r="AQ15" s="12"/>
      <x:c r="AR15" s="17" t="n">
        <x:v>1</x:v>
      </x:c>
      <x:c r="AS15" s="17" t="n">
        <x:v>1</x:v>
      </x:c>
      <x:c r="AT15" s="17" t="n">
        <x:v>0</x:v>
      </x:c>
      <x:c r="AU15" s="17" t="n">
        <x:v>0</x:v>
      </x:c>
      <x:c r="AV15" s="17" t="n">
        <x:v>0</x:v>
      </x:c>
      <x:c r="AW15" s="17" t="n">
        <x:v>0</x:v>
      </x:c>
      <x:c r="AX15" s="17" t="n">
        <x:v>0</x:v>
      </x:c>
      <x:c r="AY15" s="17" t="n">
        <x:v>1</x:v>
      </x:c>
      <x:c r="AZ15" s="17" t="n">
        <x:v>0</x:v>
      </x:c>
      <x:c r="BA15" s="12"/>
      <x:c r="BB15" s="12" t="str">
        <x:v>cod</x:v>
      </x:c>
      <x:c r="BC15" s="12" t="str">
        <x:v>Quen thanh toán lúc giao hàng.</x:v>
      </x:c>
      <x:c r="BD15" s="12" t="str">
        <x:v>unsure</x:v>
      </x:c>
      <x:c r="BE15" s="17" t="n">
        <x:v>1</x:v>
      </x:c>
      <x:c r="BF15" s="17" t="n">
        <x:v>1</x:v>
      </x:c>
      <x:c r="BG15" s="17" t="n">
        <x:v>1</x:v>
      </x:c>
      <x:c r="BH15" s="17" t="n">
        <x:v>1</x:v>
      </x:c>
      <x:c r="BI15" s="17" t="n">
        <x:v>1</x:v>
      </x:c>
      <x:c r="BJ15" s="17" t="n">
        <x:v>0</x:v>
      </x:c>
      <x:c r="BK15" s="17" t="n">
        <x:v>0</x:v>
      </x:c>
      <x:c r="BL15" s="12" t="str">
        <x:v>neutral</x:v>
      </x:c>
      <x:c r="BM15" s="12" t="str">
        <x:v>Giải thích các bước đổi hàng và phí phát sinh.</x:v>
      </x:c>
    </x:row>
    <x:row r="16" ht="64" customHeight="1">
      <x:c r="A16" s="11" t="str">
        <x:v>SYN-PH-011</x:v>
      </x:c>
      <x:c r="B16" s="11" t="str">
        <x:v>SYN</x:v>
      </x:c>
      <x:c r="C16" s="11" t="str">
        <x:v>N4</x:v>
      </x:c>
      <x:c r="D16" s="14" t="n">
        <x:v>8.6</x:v>
      </x:c>
      <x:c r="E16" s="16" t="n">
        <x:v>1</x:v>
      </x:c>
      <x:c r="F16" s="16" t="n">
        <x:v>1</x:v>
      </x:c>
      <x:c r="G16" s="11" t="str">
        <x:v>valid</x:v>
      </x:c>
      <x:c r="H16" s="11"/>
      <x:c r="I16" s="11"/>
      <x:c r="J16" s="11" t="str">
        <x:v>yes</x:v>
      </x:c>
      <x:c r="K16" s="11" t="str">
        <x:v>age_18_24</x:v>
      </x:c>
      <x:c r="L16" s="11" t="str">
        <x:v>yes</x:v>
      </x:c>
      <x:c r="M16" s="11" t="str">
        <x:v>hcm</x:v>
      </x:c>
      <x:c r="N16" s="11" t="str">
        <x:v>monthly</x:v>
      </x:c>
      <x:c r="O16" s="16" t="n">
        <x:v>1</x:v>
      </x:c>
      <x:c r="P16" s="16" t="n">
        <x:v>0</x:v>
      </x:c>
      <x:c r="Q16" s="16" t="n">
        <x:v>0</x:v>
      </x:c>
      <x:c r="R16" s="16" t="n">
        <x:v>0</x:v>
      </x:c>
      <x:c r="S16" s="16" t="n">
        <x:v>0</x:v>
      </x:c>
      <x:c r="T16" s="11"/>
      <x:c r="U16" s="11" t="str">
        <x:v>v800k_1199k</x:v>
      </x:c>
      <x:c r="V16" s="16" t="n">
        <x:v>1</x:v>
      </x:c>
      <x:c r="W16" s="16" t="n">
        <x:v>0</x:v>
      </x:c>
      <x:c r="X16" s="16" t="n">
        <x:v>1</x:v>
      </x:c>
      <x:c r="Y16" s="16" t="n">
        <x:v>0</x:v>
      </x:c>
      <x:c r="Z16" s="16" t="n">
        <x:v>1</x:v>
      </x:c>
      <x:c r="AA16" s="16" t="n">
        <x:v>0</x:v>
      </x:c>
      <x:c r="AB16" s="16" t="n">
        <x:v>0</x:v>
      </x:c>
      <x:c r="AC16" s="16" t="n">
        <x:v>0</x:v>
      </x:c>
      <x:c r="AD16" s="16" t="n">
        <x:v>0</x:v>
      </x:c>
      <x:c r="AE16" s="11"/>
      <x:c r="AF16" s="11" t="str">
        <x:v>stock_unclear</x:v>
      </x:c>
      <x:c r="AG16" s="11" t="str">
        <x:v>Không biết lựa chọn size nào đang có hàng.</x:v>
      </x:c>
      <x:c r="AH16" s="11" t="str">
        <x:v>no</x:v>
      </x:c>
      <x:c r="AI16" s="16"/>
      <x:c r="AJ16" s="16"/>
      <x:c r="AK16" s="16"/>
      <x:c r="AL16" s="16"/>
      <x:c r="AM16" s="16"/>
      <x:c r="AN16" s="16"/>
      <x:c r="AO16" s="16"/>
      <x:c r="AP16" s="16"/>
      <x:c r="AQ16" s="11"/>
      <x:c r="AR16" s="16" t="n">
        <x:v>0</x:v>
      </x:c>
      <x:c r="AS16" s="16" t="n">
        <x:v>0</x:v>
      </x:c>
      <x:c r="AT16" s="16" t="n">
        <x:v>1</x:v>
      </x:c>
      <x:c r="AU16" s="16" t="n">
        <x:v>1</x:v>
      </x:c>
      <x:c r="AV16" s="16" t="n">
        <x:v>0</x:v>
      </x:c>
      <x:c r="AW16" s="16" t="n">
        <x:v>1</x:v>
      </x:c>
      <x:c r="AX16" s="16" t="n">
        <x:v>0</x:v>
      </x:c>
      <x:c r="AY16" s="16" t="n">
        <x:v>0</x:v>
      </x:c>
      <x:c r="AZ16" s="16" t="n">
        <x:v>0</x:v>
      </x:c>
      <x:c r="BA16" s="11"/>
      <x:c r="BB16" s="11" t="str">
        <x:v>prepaid</x:v>
      </x:c>
      <x:c r="BC16" s="11" t="str">
        <x:v>Phương thức này phù hợp ưu đãi của lần mua.</x:v>
      </x:c>
      <x:c r="BD16" s="11" t="str">
        <x:v>depends_on_benefits</x:v>
      </x:c>
      <x:c r="BE16" s="16" t="n">
        <x:v>1</x:v>
      </x:c>
      <x:c r="BF16" s="16" t="n">
        <x:v>0</x:v>
      </x:c>
      <x:c r="BG16" s="16" t="n">
        <x:v>1</x:v>
      </x:c>
      <x:c r="BH16" s="16" t="n">
        <x:v>1</x:v>
      </x:c>
      <x:c r="BI16" s="16" t="n">
        <x:v>0</x:v>
      </x:c>
      <x:c r="BJ16" s="16" t="n">
        <x:v>0</x:v>
      </x:c>
      <x:c r="BK16" s="16" t="n">
        <x:v>0</x:v>
      </x:c>
      <x:c r="BL16" s="11" t="str">
        <x:v>neutral</x:v>
      </x:c>
      <x:c r="BM16" s="11" t="str">
        <x:v>Hiển thị tồn theo từng size và màu.</x:v>
      </x:c>
    </x:row>
    <x:row r="17" ht="64" customHeight="1">
      <x:c r="A17" s="12" t="str">
        <x:v>SYN-PH-012</x:v>
      </x:c>
      <x:c r="B17" s="12" t="str">
        <x:v>SYN</x:v>
      </x:c>
      <x:c r="C17" s="12" t="str">
        <x:v>N4</x:v>
      </x:c>
      <x:c r="D17" s="15" t="n">
        <x:v>6.9</x:v>
      </x:c>
      <x:c r="E17" s="17" t="n">
        <x:v>1</x:v>
      </x:c>
      <x:c r="F17" s="17" t="n">
        <x:v>1</x:v>
      </x:c>
      <x:c r="G17" s="12" t="str">
        <x:v>valid</x:v>
      </x:c>
      <x:c r="H17" s="12"/>
      <x:c r="I17" s="12"/>
      <x:c r="J17" s="12" t="str">
        <x:v>yes</x:v>
      </x:c>
      <x:c r="K17" s="12" t="str">
        <x:v>age_35_44</x:v>
      </x:c>
      <x:c r="L17" s="12" t="str">
        <x:v>yes</x:v>
      </x:c>
      <x:c r="M17" s="12" t="str">
        <x:v>nonurban</x:v>
      </x:c>
      <x:c r="N17" s="12" t="str">
        <x:v>monthly_2_3</x:v>
      </x:c>
      <x:c r="O17" s="17" t="n">
        <x:v>0</x:v>
      </x:c>
      <x:c r="P17" s="17" t="n">
        <x:v>1</x:v>
      </x:c>
      <x:c r="Q17" s="17" t="n">
        <x:v>1</x:v>
      </x:c>
      <x:c r="R17" s="17" t="n">
        <x:v>0</x:v>
      </x:c>
      <x:c r="S17" s="17" t="n">
        <x:v>1</x:v>
      </x:c>
      <x:c r="T17" s="12" t="str">
        <x:v>Danh mục bán hàng trong cộng đồng sở thích</x:v>
      </x:c>
      <x:c r="U17" s="12" t="str">
        <x:v>v800k_1199k</x:v>
      </x:c>
      <x:c r="V17" s="17" t="n">
        <x:v>0</x:v>
      </x:c>
      <x:c r="W17" s="17" t="n">
        <x:v>1</x:v>
      </x:c>
      <x:c r="X17" s="17" t="n">
        <x:v>0</x:v>
      </x:c>
      <x:c r="Y17" s="17" t="n">
        <x:v>0</x:v>
      </x:c>
      <x:c r="Z17" s="17" t="n">
        <x:v>1</x:v>
      </x:c>
      <x:c r="AA17" s="17" t="n">
        <x:v>1</x:v>
      </x:c>
      <x:c r="AB17" s="17" t="n">
        <x:v>1</x:v>
      </x:c>
      <x:c r="AC17" s="17" t="n">
        <x:v>0</x:v>
      </x:c>
      <x:c r="AD17" s="17" t="n">
        <x:v>0</x:v>
      </x:c>
      <x:c r="AE17" s="12"/>
      <x:c r="AF17" s="12" t="str">
        <x:v>stock_unclear</x:v>
      </x:c>
      <x:c r="AG17" s="12" t="str">
        <x:v>Không biết lựa chọn size nào đang có hàng.</x:v>
      </x:c>
      <x:c r="AH17" s="12" t="str">
        <x:v>no</x:v>
      </x:c>
      <x:c r="AI17" s="17"/>
      <x:c r="AJ17" s="17"/>
      <x:c r="AK17" s="17"/>
      <x:c r="AL17" s="17"/>
      <x:c r="AM17" s="17"/>
      <x:c r="AN17" s="17"/>
      <x:c r="AO17" s="17"/>
      <x:c r="AP17" s="17"/>
      <x:c r="AQ17" s="12"/>
      <x:c r="AR17" s="17" t="n">
        <x:v>0</x:v>
      </x:c>
      <x:c r="AS17" s="17" t="n">
        <x:v>0</x:v>
      </x:c>
      <x:c r="AT17" s="17" t="n">
        <x:v>0</x:v>
      </x:c>
      <x:c r="AU17" s="17" t="n">
        <x:v>0</x:v>
      </x:c>
      <x:c r="AV17" s="17" t="n">
        <x:v>1</x:v>
      </x:c>
      <x:c r="AW17" s="17" t="n">
        <x:v>1</x:v>
      </x:c>
      <x:c r="AX17" s="17" t="n">
        <x:v>1</x:v>
      </x:c>
      <x:c r="AY17" s="17" t="n">
        <x:v>0</x:v>
      </x:c>
      <x:c r="AZ17" s="17" t="n">
        <x:v>0</x:v>
      </x:c>
      <x:c r="BA17" s="12"/>
      <x:c r="BB17" s="12" t="str">
        <x:v>cod</x:v>
      </x:c>
      <x:c r="BC17" s="12" t="str">
        <x:v>Quen thanh toán lúc giao hàng.</x:v>
      </x:c>
      <x:c r="BD17" s="12" t="str">
        <x:v>guest</x:v>
      </x:c>
      <x:c r="BE17" s="17" t="n">
        <x:v>1</x:v>
      </x:c>
      <x:c r="BF17" s="17" t="n">
        <x:v>1</x:v>
      </x:c>
      <x:c r="BG17" s="17" t="n">
        <x:v>1</x:v>
      </x:c>
      <x:c r="BH17" s="17" t="n">
        <x:v>0</x:v>
      </x:c>
      <x:c r="BI17" s="17" t="n">
        <x:v>0</x:v>
      </x:c>
      <x:c r="BJ17" s="17" t="n">
        <x:v>1</x:v>
      </x:c>
      <x:c r="BK17" s="17" t="n">
        <x:v>1</x:v>
      </x:c>
      <x:c r="BL17" s="12" t="str">
        <x:v>fairly_willing</x:v>
      </x:c>
      <x:c r="BM17" s="12" t="str">
        <x:v>Thông báo lựa chọn thay thế khi biến thể hết hàng.</x:v>
      </x:c>
    </x:row>
    <x:row r="18" ht="64" customHeight="1">
      <x:c r="A18" s="11" t="str">
        <x:v>SYN-PH-013</x:v>
      </x:c>
      <x:c r="B18" s="11" t="str">
        <x:v>SYN</x:v>
      </x:c>
      <x:c r="C18" s="11" t="str">
        <x:v>N4</x:v>
      </x:c>
      <x:c r="D18" s="14" t="n">
        <x:v>7</x:v>
      </x:c>
      <x:c r="E18" s="16" t="n">
        <x:v>1</x:v>
      </x:c>
      <x:c r="F18" s="16" t="n">
        <x:v>1</x:v>
      </x:c>
      <x:c r="G18" s="11" t="str">
        <x:v>valid</x:v>
      </x:c>
      <x:c r="H18" s="11"/>
      <x:c r="I18" s="11"/>
      <x:c r="J18" s="11" t="str">
        <x:v>yes</x:v>
      </x:c>
      <x:c r="K18" s="11" t="str">
        <x:v>age_35_44</x:v>
      </x:c>
      <x:c r="L18" s="11" t="str">
        <x:v>yes</x:v>
      </x:c>
      <x:c r="M18" s="11" t="str">
        <x:v>danang</x:v>
      </x:c>
      <x:c r="N18" s="11" t="str">
        <x:v>monthly</x:v>
      </x:c>
      <x:c r="O18" s="16" t="n">
        <x:v>1</x:v>
      </x:c>
      <x:c r="P18" s="16" t="n">
        <x:v>0</x:v>
      </x:c>
      <x:c r="Q18" s="16" t="n">
        <x:v>0</x:v>
      </x:c>
      <x:c r="R18" s="16" t="n">
        <x:v>0</x:v>
      </x:c>
      <x:c r="S18" s="16" t="n">
        <x:v>0</x:v>
      </x:c>
      <x:c r="T18" s="11"/>
      <x:c r="U18" s="11" t="str">
        <x:v>at_least_1200k</x:v>
      </x:c>
      <x:c r="V18" s="16" t="n">
        <x:v>0</x:v>
      </x:c>
      <x:c r="W18" s="16" t="n">
        <x:v>0</x:v>
      </x:c>
      <x:c r="X18" s="16" t="n">
        <x:v>1</x:v>
      </x:c>
      <x:c r="Y18" s="16" t="n">
        <x:v>0</x:v>
      </x:c>
      <x:c r="Z18" s="16" t="n">
        <x:v>0</x:v>
      </x:c>
      <x:c r="AA18" s="16" t="n">
        <x:v>0</x:v>
      </x:c>
      <x:c r="AB18" s="16" t="n">
        <x:v>0</x:v>
      </x:c>
      <x:c r="AC18" s="16" t="n">
        <x:v>0</x:v>
      </x:c>
      <x:c r="AD18" s="16" t="n">
        <x:v>0</x:v>
      </x:c>
      <x:c r="AE18" s="11"/>
      <x:c r="AF18" s="11" t="str">
        <x:v>returns_unclear</x:v>
      </x:c>
      <x:c r="AG18" s="11" t="str">
        <x:v>Khó tìm thời hạn đổi size trước khi đặt.</x:v>
      </x:c>
      <x:c r="AH18" s="11" t="str">
        <x:v>no</x:v>
      </x:c>
      <x:c r="AI18" s="16"/>
      <x:c r="AJ18" s="16"/>
      <x:c r="AK18" s="16"/>
      <x:c r="AL18" s="16"/>
      <x:c r="AM18" s="16"/>
      <x:c r="AN18" s="16"/>
      <x:c r="AO18" s="16"/>
      <x:c r="AP18" s="16"/>
      <x:c r="AQ18" s="11"/>
      <x:c r="AR18" s="16" t="n">
        <x:v>1</x:v>
      </x:c>
      <x:c r="AS18" s="16" t="n">
        <x:v>1</x:v>
      </x:c>
      <x:c r="AT18" s="16" t="n">
        <x:v>0</x:v>
      </x:c>
      <x:c r="AU18" s="16" t="n">
        <x:v>0</x:v>
      </x:c>
      <x:c r="AV18" s="16" t="n">
        <x:v>0</x:v>
      </x:c>
      <x:c r="AW18" s="16" t="n">
        <x:v>0</x:v>
      </x:c>
      <x:c r="AX18" s="16" t="n">
        <x:v>1</x:v>
      </x:c>
      <x:c r="AY18" s="16" t="n">
        <x:v>0</x:v>
      </x:c>
      <x:c r="AZ18" s="16" t="n">
        <x:v>0</x:v>
      </x:c>
      <x:c r="BA18" s="11"/>
      <x:c r="BB18" s="11" t="str">
        <x:v>prepaid</x:v>
      </x:c>
      <x:c r="BC18" s="11" t="str">
        <x:v>Đã quen thao tác thanh toán trước.</x:v>
      </x:c>
      <x:c r="BD18" s="11" t="str">
        <x:v>depends_on_benefits</x:v>
      </x:c>
      <x:c r="BE18" s="16" t="n">
        <x:v>1</x:v>
      </x:c>
      <x:c r="BF18" s="16" t="n">
        <x:v>1</x:v>
      </x:c>
      <x:c r="BG18" s="16" t="n">
        <x:v>0</x:v>
      </x:c>
      <x:c r="BH18" s="16" t="n">
        <x:v>1</x:v>
      </x:c>
      <x:c r="BI18" s="16" t="n">
        <x:v>1</x:v>
      </x:c>
      <x:c r="BJ18" s="16" t="n">
        <x:v>0</x:v>
      </x:c>
      <x:c r="BK18" s="16" t="n">
        <x:v>0</x:v>
      </x:c>
      <x:c r="BL18" s="11" t="str">
        <x:v>fairly_willing</x:v>
      </x:c>
      <x:c r="BM18" s="11" t="str">
        <x:v>Đưa điều kiện đổi size ngay cạnh nút mua.</x:v>
      </x:c>
    </x:row>
    <x:row r="19" ht="64" customHeight="1">
      <x:c r="A19" s="12" t="str">
        <x:v>SYN-PH-014</x:v>
      </x:c>
      <x:c r="B19" s="12" t="str">
        <x:v>SYN</x:v>
      </x:c>
      <x:c r="C19" s="12" t="str">
        <x:v>N4</x:v>
      </x:c>
      <x:c r="D19" s="15" t="n">
        <x:v>9.8</x:v>
      </x:c>
      <x:c r="E19" s="17" t="n">
        <x:v>1</x:v>
      </x:c>
      <x:c r="F19" s="17" t="n">
        <x:v>1</x:v>
      </x:c>
      <x:c r="G19" s="12" t="str">
        <x:v>valid</x:v>
      </x:c>
      <x:c r="H19" s="12"/>
      <x:c r="I19" s="12"/>
      <x:c r="J19" s="12" t="str">
        <x:v>yes</x:v>
      </x:c>
      <x:c r="K19" s="12" t="str">
        <x:v>age_25_34</x:v>
      </x:c>
      <x:c r="L19" s="12" t="str">
        <x:v>yes</x:v>
      </x:c>
      <x:c r="M19" s="12" t="str">
        <x:v>danang</x:v>
      </x:c>
      <x:c r="N19" s="12" t="str">
        <x:v>monthly_2_3</x:v>
      </x:c>
      <x:c r="O19" s="17" t="n">
        <x:v>1</x:v>
      </x:c>
      <x:c r="P19" s="17" t="n">
        <x:v>1</x:v>
      </x:c>
      <x:c r="Q19" s="17" t="n">
        <x:v>1</x:v>
      </x:c>
      <x:c r="R19" s="17" t="n">
        <x:v>0</x:v>
      </x:c>
      <x:c r="S19" s="17" t="n">
        <x:v>0</x:v>
      </x:c>
      <x:c r="T19" s="12"/>
      <x:c r="U19" s="12" t="str">
        <x:v>at_least_1200k</x:v>
      </x:c>
      <x:c r="V19" s="17" t="n">
        <x:v>1</x:v>
      </x:c>
      <x:c r="W19" s="17" t="n">
        <x:v>0</x:v>
      </x:c>
      <x:c r="X19" s="17" t="n">
        <x:v>1</x:v>
      </x:c>
      <x:c r="Y19" s="17" t="n">
        <x:v>0</x:v>
      </x:c>
      <x:c r="Z19" s="17" t="n">
        <x:v>0</x:v>
      </x:c>
      <x:c r="AA19" s="17" t="n">
        <x:v>0</x:v>
      </x:c>
      <x:c r="AB19" s="17" t="n">
        <x:v>0</x:v>
      </x:c>
      <x:c r="AC19" s="17" t="n">
        <x:v>0</x:v>
      </x:c>
      <x:c r="AD19" s="17" t="n">
        <x:v>0</x:v>
      </x:c>
      <x:c r="AE19" s="12"/>
      <x:c r="AF19" s="12" t="str">
        <x:v>size_uncertain</x:v>
      </x:c>
      <x:c r="AG19" s="12" t="str">
        <x:v>Không có số đo vai và chiều dài để chọn size.</x:v>
      </x:c>
      <x:c r="AH19" s="12" t="str">
        <x:v>yes</x:v>
      </x:c>
      <x:c r="AI19" s="17" t="n">
        <x:v>1</x:v>
      </x:c>
      <x:c r="AJ19" s="17" t="n">
        <x:v>0</x:v>
      </x:c>
      <x:c r="AK19" s="17" t="n">
        <x:v>0</x:v>
      </x:c>
      <x:c r="AL19" s="17" t="n">
        <x:v>0</x:v>
      </x:c>
      <x:c r="AM19" s="17" t="n">
        <x:v>0</x:v>
      </x:c>
      <x:c r="AN19" s="17" t="n">
        <x:v>0</x:v>
      </x:c>
      <x:c r="AO19" s="17" t="n">
        <x:v>0</x:v>
      </x:c>
      <x:c r="AP19" s="17" t="n">
        <x:v>0</x:v>
      </x:c>
      <x:c r="AQ19" s="12"/>
      <x:c r="AR19" s="17" t="n">
        <x:v>1</x:v>
      </x:c>
      <x:c r="AS19" s="17" t="n">
        <x:v>1</x:v>
      </x:c>
      <x:c r="AT19" s="17" t="n">
        <x:v>0</x:v>
      </x:c>
      <x:c r="AU19" s="17" t="n">
        <x:v>0</x:v>
      </x:c>
      <x:c r="AV19" s="17" t="n">
        <x:v>0</x:v>
      </x:c>
      <x:c r="AW19" s="17" t="n">
        <x:v>1</x:v>
      </x:c>
      <x:c r="AX19" s="17" t="n">
        <x:v>0</x:v>
      </x:c>
      <x:c r="AY19" s="17" t="n">
        <x:v>0</x:v>
      </x:c>
      <x:c r="AZ19" s="17" t="n">
        <x:v>0</x:v>
      </x:c>
      <x:c r="BA19" s="12"/>
      <x:c r="BB19" s="12" t="str">
        <x:v>other</x:v>
      </x:c>
      <x:c r="BC19" s="12" t="str">
        <x:v>Dùng phiếu quà tặng cho lần mua.</x:v>
      </x:c>
      <x:c r="BD19" s="12" t="str">
        <x:v>guest</x:v>
      </x:c>
      <x:c r="BE19" s="17" t="n">
        <x:v>1</x:v>
      </x:c>
      <x:c r="BF19" s="17" t="n">
        <x:v>0</x:v>
      </x:c>
      <x:c r="BG19" s="17" t="n">
        <x:v>1</x:v>
      </x:c>
      <x:c r="BH19" s="17" t="n">
        <x:v>1</x:v>
      </x:c>
      <x:c r="BI19" s="17" t="n">
        <x:v>1</x:v>
      </x:c>
      <x:c r="BJ19" s="17" t="n">
        <x:v>0</x:v>
      </x:c>
      <x:c r="BK19" s="17" t="n">
        <x:v>1</x:v>
      </x:c>
      <x:c r="BL19" s="12" t="str">
        <x:v>fairly_willing</x:v>
      </x:c>
      <x:c r="BM19" s="12" t="str">
        <x:v>So sánh size giữa các mẫu quần áo.</x:v>
      </x:c>
    </x:row>
    <x:row r="20" ht="64" customHeight="1">
      <x:c r="A20" s="11" t="str">
        <x:v>SYN-PH-015</x:v>
      </x:c>
      <x:c r="B20" s="11" t="str">
        <x:v>SYN</x:v>
      </x:c>
      <x:c r="C20" s="11" t="str">
        <x:v>N4</x:v>
      </x:c>
      <x:c r="D20" s="14" t="n">
        <x:v>11.7</x:v>
      </x:c>
      <x:c r="E20" s="16" t="n">
        <x:v>1</x:v>
      </x:c>
      <x:c r="F20" s="16" t="n">
        <x:v>1</x:v>
      </x:c>
      <x:c r="G20" s="11" t="str">
        <x:v>valid</x:v>
      </x:c>
      <x:c r="H20" s="11"/>
      <x:c r="I20" s="11"/>
      <x:c r="J20" s="11" t="str">
        <x:v>yes</x:v>
      </x:c>
      <x:c r="K20" s="11" t="str">
        <x:v>age_35_44</x:v>
      </x:c>
      <x:c r="L20" s="11" t="str">
        <x:v>yes</x:v>
      </x:c>
      <x:c r="M20" s="11" t="str">
        <x:v>hcm</x:v>
      </x:c>
      <x:c r="N20" s="11" t="str">
        <x:v>monthly</x:v>
      </x:c>
      <x:c r="O20" s="16" t="n">
        <x:v>1</x:v>
      </x:c>
      <x:c r="P20" s="16" t="n">
        <x:v>1</x:v>
      </x:c>
      <x:c r="Q20" s="16" t="n">
        <x:v>1</x:v>
      </x:c>
      <x:c r="R20" s="16" t="n">
        <x:v>0</x:v>
      </x:c>
      <x:c r="S20" s="16" t="n">
        <x:v>0</x:v>
      </x:c>
      <x:c r="T20" s="11"/>
      <x:c r="U20" s="11" t="str">
        <x:v>under_300k</x:v>
      </x:c>
      <x:c r="V20" s="16" t="n">
        <x:v>0</x:v>
      </x:c>
      <x:c r="W20" s="16" t="n">
        <x:v>1</x:v>
      </x:c>
      <x:c r="X20" s="16" t="n">
        <x:v>1</x:v>
      </x:c>
      <x:c r="Y20" s="16" t="n">
        <x:v>1</x:v>
      </x:c>
      <x:c r="Z20" s="16" t="n">
        <x:v>0</x:v>
      </x:c>
      <x:c r="AA20" s="16" t="n">
        <x:v>0</x:v>
      </x:c>
      <x:c r="AB20" s="16" t="n">
        <x:v>0</x:v>
      </x:c>
      <x:c r="AC20" s="16" t="n">
        <x:v>0</x:v>
      </x:c>
      <x:c r="AD20" s="16" t="n">
        <x:v>0</x:v>
      </x:c>
      <x:c r="AE20" s="11"/>
      <x:c r="AF20" s="11" t="str">
        <x:v>photo_mismatch</x:v>
      </x:c>
      <x:c r="AG20" s="11" t="str">
        <x:v>Màu trong ảnh và mô tả thiếu thông tin dưới ánh sáng thường.</x:v>
      </x:c>
      <x:c r="AH20" s="11" t="str">
        <x:v>yes</x:v>
      </x:c>
      <x:c r="AI20" s="16" t="n">
        <x:v>0</x:v>
      </x:c>
      <x:c r="AJ20" s="16" t="n">
        <x:v>1</x:v>
      </x:c>
      <x:c r="AK20" s="16" t="n">
        <x:v>0</x:v>
      </x:c>
      <x:c r="AL20" s="16" t="n">
        <x:v>0</x:v>
      </x:c>
      <x:c r="AM20" s="16" t="n">
        <x:v>0</x:v>
      </x:c>
      <x:c r="AN20" s="16" t="n">
        <x:v>0</x:v>
      </x:c>
      <x:c r="AO20" s="16" t="n">
        <x:v>0</x:v>
      </x:c>
      <x:c r="AP20" s="16" t="n">
        <x:v>0</x:v>
      </x:c>
      <x:c r="AQ20" s="11"/>
      <x:c r="AR20" s="16" t="n">
        <x:v>0</x:v>
      </x:c>
      <x:c r="AS20" s="16" t="n">
        <x:v>0</x:v>
      </x:c>
      <x:c r="AT20" s="16" t="n">
        <x:v>0</x:v>
      </x:c>
      <x:c r="AU20" s="16" t="n">
        <x:v>0</x:v>
      </x:c>
      <x:c r="AV20" s="16" t="n">
        <x:v>0</x:v>
      </x:c>
      <x:c r="AW20" s="16" t="n">
        <x:v>1</x:v>
      </x:c>
      <x:c r="AX20" s="16" t="n">
        <x:v>1</x:v>
      </x:c>
      <x:c r="AY20" s="16" t="n">
        <x:v>1</x:v>
      </x:c>
      <x:c r="AZ20" s="16" t="n">
        <x:v>0</x:v>
      </x:c>
      <x:c r="BA20" s="11"/>
      <x:c r="BB20" s="11" t="str">
        <x:v>other</x:v>
      </x:c>
      <x:c r="BC20" s="11" t="str">
        <x:v>Dùng phiếu quà tặng cho lần mua.</x:v>
      </x:c>
      <x:c r="BD20" s="11" t="str">
        <x:v>depends_on_benefits</x:v>
      </x:c>
      <x:c r="BE20" s="16" t="n">
        <x:v>1</x:v>
      </x:c>
      <x:c r="BF20" s="16" t="n">
        <x:v>1</x:v>
      </x:c>
      <x:c r="BG20" s="16" t="n">
        <x:v>1</x:v>
      </x:c>
      <x:c r="BH20" s="16" t="n">
        <x:v>1</x:v>
      </x:c>
      <x:c r="BI20" s="16" t="n">
        <x:v>1</x:v>
      </x:c>
      <x:c r="BJ20" s="16" t="n">
        <x:v>1</x:v>
      </x:c>
      <x:c r="BK20" s="16" t="n">
        <x:v>0</x:v>
      </x:c>
      <x:c r="BL20" s="11" t="str">
        <x:v>fairly_willing</x:v>
      </x:c>
      <x:c r="BM20" s="11" t="str">
        <x:v>Bổ sung ảnh cận chất liệu dưới ánh sáng thường.</x:v>
      </x:c>
    </x:row>
    <x:row r="21" ht="64" customHeight="1">
      <x:c r="A21" s="12" t="str">
        <x:v>SYN-PH-016</x:v>
      </x:c>
      <x:c r="B21" s="12" t="str">
        <x:v>SYN</x:v>
      </x:c>
      <x:c r="C21" s="12" t="str">
        <x:v>N4</x:v>
      </x:c>
      <x:c r="D21" s="15" t="n">
        <x:v>10.7</x:v>
      </x:c>
      <x:c r="E21" s="17" t="n">
        <x:v>1</x:v>
      </x:c>
      <x:c r="F21" s="17" t="n">
        <x:v>1</x:v>
      </x:c>
      <x:c r="G21" s="12" t="str">
        <x:v>valid</x:v>
      </x:c>
      <x:c r="H21" s="12"/>
      <x:c r="I21" s="12"/>
      <x:c r="J21" s="12" t="str">
        <x:v>yes</x:v>
      </x:c>
      <x:c r="K21" s="12" t="str">
        <x:v>age_18_24</x:v>
      </x:c>
      <x:c r="L21" s="12" t="str">
        <x:v>yes</x:v>
      </x:c>
      <x:c r="M21" s="12" t="str">
        <x:v>hcm</x:v>
      </x:c>
      <x:c r="N21" s="12" t="str">
        <x:v>monthly_2_3</x:v>
      </x:c>
      <x:c r="O21" s="17" t="n">
        <x:v>1</x:v>
      </x:c>
      <x:c r="P21" s="17" t="n">
        <x:v>0</x:v>
      </x:c>
      <x:c r="Q21" s="17" t="n">
        <x:v>1</x:v>
      </x:c>
      <x:c r="R21" s="17" t="n">
        <x:v>0</x:v>
      </x:c>
      <x:c r="S21" s="17" t="n">
        <x:v>0</x:v>
      </x:c>
      <x:c r="T21" s="12"/>
      <x:c r="U21" s="12" t="str">
        <x:v>under_300k</x:v>
      </x:c>
      <x:c r="V21" s="17" t="n">
        <x:v>0</x:v>
      </x:c>
      <x:c r="W21" s="17" t="n">
        <x:v>0</x:v>
      </x:c>
      <x:c r="X21" s="17" t="n">
        <x:v>1</x:v>
      </x:c>
      <x:c r="Y21" s="17" t="n">
        <x:v>0</x:v>
      </x:c>
      <x:c r="Z21" s="17" t="n">
        <x:v>1</x:v>
      </x:c>
      <x:c r="AA21" s="17" t="n">
        <x:v>0</x:v>
      </x:c>
      <x:c r="AB21" s="17" t="n">
        <x:v>0</x:v>
      </x:c>
      <x:c r="AC21" s="17" t="n">
        <x:v>0</x:v>
      </x:c>
      <x:c r="AD21" s="17" t="n">
        <x:v>0</x:v>
      </x:c>
      <x:c r="AE21" s="12"/>
      <x:c r="AF21" s="12" t="str">
        <x:v>stock_unclear</x:v>
      </x:c>
      <x:c r="AG21" s="12" t="str">
        <x:v>Màu mong muốn không có thông tin tồn rõ ràng.</x:v>
      </x:c>
      <x:c r="AH21" s="12" t="str">
        <x:v>yes</x:v>
      </x:c>
      <x:c r="AI21" s="17" t="n">
        <x:v>0</x:v>
      </x:c>
      <x:c r="AJ21" s="17" t="n">
        <x:v>1</x:v>
      </x:c>
      <x:c r="AK21" s="17" t="n">
        <x:v>0</x:v>
      </x:c>
      <x:c r="AL21" s="17" t="n">
        <x:v>0</x:v>
      </x:c>
      <x:c r="AM21" s="17" t="n">
        <x:v>0</x:v>
      </x:c>
      <x:c r="AN21" s="17" t="n">
        <x:v>1</x:v>
      </x:c>
      <x:c r="AO21" s="17" t="n">
        <x:v>0</x:v>
      </x:c>
      <x:c r="AP21" s="17" t="n">
        <x:v>0</x:v>
      </x:c>
      <x:c r="AQ21" s="12"/>
      <x:c r="AR21" s="17" t="n">
        <x:v>0</x:v>
      </x:c>
      <x:c r="AS21" s="17" t="n">
        <x:v>0</x:v>
      </x:c>
      <x:c r="AT21" s="17" t="n">
        <x:v>0</x:v>
      </x:c>
      <x:c r="AU21" s="17" t="n">
        <x:v>1</x:v>
      </x:c>
      <x:c r="AV21" s="17" t="n">
        <x:v>0</x:v>
      </x:c>
      <x:c r="AW21" s="17" t="n">
        <x:v>0</x:v>
      </x:c>
      <x:c r="AX21" s="17" t="n">
        <x:v>1</x:v>
      </x:c>
      <x:c r="AY21" s="17" t="n">
        <x:v>1</x:v>
      </x:c>
      <x:c r="AZ21" s="17" t="n">
        <x:v>0</x:v>
      </x:c>
      <x:c r="BA21" s="12"/>
      <x:c r="BB21" s="12" t="str">
        <x:v>cannot_recall</x:v>
      </x:c>
      <x:c r="BC21" s="12" t="str">
        <x:v>Không nhớ rõ cách thanh toán của lần gần nhất.</x:v>
      </x:c>
      <x:c r="BD21" s="12" t="str">
        <x:v>guest</x:v>
      </x:c>
      <x:c r="BE21" s="17" t="n">
        <x:v>1</x:v>
      </x:c>
      <x:c r="BF21" s="17" t="n">
        <x:v>0</x:v>
      </x:c>
      <x:c r="BG21" s="17" t="n">
        <x:v>1</x:v>
      </x:c>
      <x:c r="BH21" s="17" t="n">
        <x:v>0</x:v>
      </x:c>
      <x:c r="BI21" s="17" t="n">
        <x:v>1</x:v>
      </x:c>
      <x:c r="BJ21" s="17" t="n">
        <x:v>1</x:v>
      </x:c>
      <x:c r="BK21" s="17" t="n">
        <x:v>1</x:v>
      </x:c>
      <x:c r="BL21" s="12" t="str">
        <x:v>fairly_willing</x:v>
      </x:c>
      <x:c r="BM21" s="12" t="str">
        <x:v>Hiển thị tồn theo từng size và màu.</x:v>
      </x:c>
    </x:row>
    <x:row r="22" ht="64" customHeight="1">
      <x:c r="A22" s="11" t="str">
        <x:v>SYN-PH-017</x:v>
      </x:c>
      <x:c r="B22" s="11" t="str">
        <x:v>SYN</x:v>
      </x:c>
      <x:c r="C22" s="11" t="str">
        <x:v>N4</x:v>
      </x:c>
      <x:c r="D22" s="14" t="n">
        <x:v>11.5</x:v>
      </x:c>
      <x:c r="E22" s="16" t="n">
        <x:v>1</x:v>
      </x:c>
      <x:c r="F22" s="16" t="n">
        <x:v>1</x:v>
      </x:c>
      <x:c r="G22" s="11" t="str">
        <x:v>valid</x:v>
      </x:c>
      <x:c r="H22" s="11"/>
      <x:c r="I22" s="11"/>
      <x:c r="J22" s="11" t="str">
        <x:v>yes</x:v>
      </x:c>
      <x:c r="K22" s="11" t="str">
        <x:v>age_35_44</x:v>
      </x:c>
      <x:c r="L22" s="11" t="str">
        <x:v>yes</x:v>
      </x:c>
      <x:c r="M22" s="11" t="str">
        <x:v>other_urban</x:v>
      </x:c>
      <x:c r="N22" s="11" t="str">
        <x:v>monthly</x:v>
      </x:c>
      <x:c r="O22" s="16" t="n">
        <x:v>0</x:v>
      </x:c>
      <x:c r="P22" s="16" t="n">
        <x:v>1</x:v>
      </x:c>
      <x:c r="Q22" s="16" t="n">
        <x:v>0</x:v>
      </x:c>
      <x:c r="R22" s="16" t="n">
        <x:v>0</x:v>
      </x:c>
      <x:c r="S22" s="16" t="n">
        <x:v>0</x:v>
      </x:c>
      <x:c r="T22" s="11"/>
      <x:c r="U22" s="11" t="str">
        <x:v>under_300k</x:v>
      </x:c>
      <x:c r="V22" s="16" t="n">
        <x:v>0</x:v>
      </x:c>
      <x:c r="W22" s="16" t="n">
        <x:v>1</x:v>
      </x:c>
      <x:c r="X22" s="16" t="n">
        <x:v>1</x:v>
      </x:c>
      <x:c r="Y22" s="16" t="n">
        <x:v>1</x:v>
      </x:c>
      <x:c r="Z22" s="16" t="n">
        <x:v>0</x:v>
      </x:c>
      <x:c r="AA22" s="16" t="n">
        <x:v>0</x:v>
      </x:c>
      <x:c r="AB22" s="16" t="n">
        <x:v>0</x:v>
      </x:c>
      <x:c r="AC22" s="16" t="n">
        <x:v>0</x:v>
      </x:c>
      <x:c r="AD22" s="16" t="n">
        <x:v>0</x:v>
      </x:c>
      <x:c r="AE22" s="11"/>
      <x:c r="AF22" s="11" t="str">
        <x:v>late_total</x:v>
      </x:c>
      <x:c r="AG22" s="11" t="str">
        <x:v>Mức giảm voucher thay đổi khi chọn phương thức giao.</x:v>
      </x:c>
      <x:c r="AH22" s="11" t="str">
        <x:v>yes</x:v>
      </x:c>
      <x:c r="AI22" s="16" t="n">
        <x:v>0</x:v>
      </x:c>
      <x:c r="AJ22" s="16" t="n">
        <x:v>0</x:v>
      </x:c>
      <x:c r="AK22" s="16" t="n">
        <x:v>1</x:v>
      </x:c>
      <x:c r="AL22" s="16" t="n">
        <x:v>0</x:v>
      </x:c>
      <x:c r="AM22" s="16" t="n">
        <x:v>0</x:v>
      </x:c>
      <x:c r="AN22" s="16" t="n">
        <x:v>0</x:v>
      </x:c>
      <x:c r="AO22" s="16" t="n">
        <x:v>0</x:v>
      </x:c>
      <x:c r="AP22" s="16" t="n">
        <x:v>0</x:v>
      </x:c>
      <x:c r="AQ22" s="11"/>
      <x:c r="AR22" s="16" t="n">
        <x:v>0</x:v>
      </x:c>
      <x:c r="AS22" s="16" t="n">
        <x:v>0</x:v>
      </x:c>
      <x:c r="AT22" s="16" t="n">
        <x:v>0</x:v>
      </x:c>
      <x:c r="AU22" s="16" t="n">
        <x:v>0</x:v>
      </x:c>
      <x:c r="AV22" s="16" t="n">
        <x:v>1</x:v>
      </x:c>
      <x:c r="AW22" s="16" t="n">
        <x:v>1</x:v>
      </x:c>
      <x:c r="AX22" s="16" t="n">
        <x:v>0</x:v>
      </x:c>
      <x:c r="AY22" s="16" t="n">
        <x:v>1</x:v>
      </x:c>
      <x:c r="AZ22" s="16" t="n">
        <x:v>0</x:v>
      </x:c>
      <x:c r="BA22" s="11"/>
      <x:c r="BB22" s="11" t="str">
        <x:v>cod</x:v>
      </x:c>
      <x:c r="BC22" s="11" t="str">
        <x:v>Thuận tiện với cách nhận hàng gần đây.</x:v>
      </x:c>
      <x:c r="BD22" s="11" t="str">
        <x:v>depends_on_benefits</x:v>
      </x:c>
      <x:c r="BE22" s="16" t="n">
        <x:v>1</x:v>
      </x:c>
      <x:c r="BF22" s="16" t="n">
        <x:v>1</x:v>
      </x:c>
      <x:c r="BG22" s="16" t="n">
        <x:v>1</x:v>
      </x:c>
      <x:c r="BH22" s="16" t="n">
        <x:v>1</x:v>
      </x:c>
      <x:c r="BI22" s="16" t="n">
        <x:v>1</x:v>
      </x:c>
      <x:c r="BJ22" s="16" t="n">
        <x:v>0</x:v>
      </x:c>
      <x:c r="BK22" s="16" t="n">
        <x:v>0</x:v>
      </x:c>
      <x:c r="BL22" s="11" t="str">
        <x:v>fairly_willing</x:v>
      </x:c>
      <x:c r="BM22" s="11" t="str">
        <x:v>Giải thích vì sao mã giảm giá không áp dụng.</x:v>
      </x:c>
    </x:row>
    <x:row r="23" ht="64" customHeight="1">
      <x:c r="A23" s="12" t="str">
        <x:v>SYN-PH-018</x:v>
      </x:c>
      <x:c r="B23" s="12" t="str">
        <x:v>SYN</x:v>
      </x:c>
      <x:c r="C23" s="12" t="str">
        <x:v>N4</x:v>
      </x:c>
      <x:c r="D23" s="15" t="n">
        <x:v>0.6</x:v>
      </x:c>
      <x:c r="E23" s="17" t="n">
        <x:v>0</x:v>
      </x:c>
      <x:c r="F23" s="17" t="n">
        <x:v>0</x:v>
      </x:c>
      <x:c r="G23" s="12" t="str">
        <x:v>excluded</x:v>
      </x:c>
      <x:c r="H23" s="12" t="str">
        <x:v>out_of_age</x:v>
      </x:c>
      <x:c r="I23" s="12"/>
      <x:c r="J23" s="12" t="str">
        <x:v>yes</x:v>
      </x:c>
      <x:c r="K23" s="12" t="str">
        <x:v>under_18</x:v>
      </x:c>
      <x:c r="L23" s="12"/>
      <x:c r="M23" s="12"/>
      <x:c r="N23" s="12"/>
      <x:c r="O23" s="17"/>
      <x:c r="P23" s="17"/>
      <x:c r="Q23" s="17"/>
      <x:c r="R23" s="17"/>
      <x:c r="S23" s="17"/>
      <x:c r="T23" s="12"/>
      <x:c r="U23" s="12"/>
      <x:c r="V23" s="17"/>
      <x:c r="W23" s="17"/>
      <x:c r="X23" s="17"/>
      <x:c r="Y23" s="17"/>
      <x:c r="Z23" s="17"/>
      <x:c r="AA23" s="17"/>
      <x:c r="AB23" s="17"/>
      <x:c r="AC23" s="17"/>
      <x:c r="AD23" s="17"/>
      <x:c r="AE23" s="12"/>
      <x:c r="AF23" s="12"/>
      <x:c r="AG23" s="12"/>
      <x:c r="AH23" s="12"/>
      <x:c r="AI23" s="17"/>
      <x:c r="AJ23" s="17"/>
      <x:c r="AK23" s="17"/>
      <x:c r="AL23" s="17"/>
      <x:c r="AM23" s="17"/>
      <x:c r="AN23" s="17"/>
      <x:c r="AO23" s="17"/>
      <x:c r="AP23" s="17"/>
      <x:c r="AQ23" s="12"/>
      <x:c r="AR23" s="17"/>
      <x:c r="AS23" s="17"/>
      <x:c r="AT23" s="17"/>
      <x:c r="AU23" s="17"/>
      <x:c r="AV23" s="17"/>
      <x:c r="AW23" s="17"/>
      <x:c r="AX23" s="17"/>
      <x:c r="AY23" s="17"/>
      <x:c r="AZ23" s="17"/>
      <x:c r="BA23" s="12"/>
      <x:c r="BB23" s="12"/>
      <x:c r="BC23" s="12"/>
      <x:c r="BD23" s="12"/>
      <x:c r="BE23" s="17"/>
      <x:c r="BF23" s="17"/>
      <x:c r="BG23" s="17"/>
      <x:c r="BH23" s="17"/>
      <x:c r="BI23" s="17"/>
      <x:c r="BJ23" s="17"/>
      <x:c r="BK23" s="17"/>
      <x:c r="BL23" s="12"/>
      <x:c r="BM23" s="12"/>
    </x:row>
    <x:row r="24" ht="64" customHeight="1">
      <x:c r="A24" s="11" t="str">
        <x:v>SYN-PH-019</x:v>
      </x:c>
      <x:c r="B24" s="11" t="str">
        <x:v>SYN</x:v>
      </x:c>
      <x:c r="C24" s="11" t="str">
        <x:v>N4</x:v>
      </x:c>
      <x:c r="D24" s="14" t="n">
        <x:v>6.9</x:v>
      </x:c>
      <x:c r="E24" s="16" t="n">
        <x:v>1</x:v>
      </x:c>
      <x:c r="F24" s="16" t="n">
        <x:v>1</x:v>
      </x:c>
      <x:c r="G24" s="11" t="str">
        <x:v>valid</x:v>
      </x:c>
      <x:c r="H24" s="11"/>
      <x:c r="I24" s="11"/>
      <x:c r="J24" s="11" t="str">
        <x:v>yes</x:v>
      </x:c>
      <x:c r="K24" s="11" t="str">
        <x:v>age_35_44</x:v>
      </x:c>
      <x:c r="L24" s="11" t="str">
        <x:v>yes</x:v>
      </x:c>
      <x:c r="M24" s="11" t="str">
        <x:v>hcm</x:v>
      </x:c>
      <x:c r="N24" s="11" t="str">
        <x:v>every_2_3_months</x:v>
      </x:c>
      <x:c r="O24" s="16" t="n">
        <x:v>1</x:v>
      </x:c>
      <x:c r="P24" s="16" t="n">
        <x:v>0</x:v>
      </x:c>
      <x:c r="Q24" s="16" t="n">
        <x:v>0</x:v>
      </x:c>
      <x:c r="R24" s="16" t="n">
        <x:v>0</x:v>
      </x:c>
      <x:c r="S24" s="16" t="n">
        <x:v>0</x:v>
      </x:c>
      <x:c r="T24" s="11"/>
      <x:c r="U24" s="11" t="str">
        <x:v>v300k_499k</x:v>
      </x:c>
      <x:c r="V24" s="16" t="n">
        <x:v>1</x:v>
      </x:c>
      <x:c r="W24" s="16" t="n">
        <x:v>1</x:v>
      </x:c>
      <x:c r="X24" s="16" t="n">
        <x:v>1</x:v>
      </x:c>
      <x:c r="Y24" s="16" t="n">
        <x:v>1</x:v>
      </x:c>
      <x:c r="Z24" s="16" t="n">
        <x:v>1</x:v>
      </x:c>
      <x:c r="AA24" s="16" t="n">
        <x:v>1</x:v>
      </x:c>
      <x:c r="AB24" s="16" t="n">
        <x:v>1</x:v>
      </x:c>
      <x:c r="AC24" s="16" t="n">
        <x:v>0</x:v>
      </x:c>
      <x:c r="AD24" s="16" t="n">
        <x:v>0</x:v>
      </x:c>
      <x:c r="AE24" s="11"/>
      <x:c r="AF24" s="11" t="str">
        <x:v>returns_unclear</x:v>
      </x:c>
      <x:c r="AG24" s="11" t="str">
        <x:v>Không rõ bên nào chịu phí gửi lại hàng.</x:v>
      </x:c>
      <x:c r="AH24" s="11" t="str">
        <x:v>yes</x:v>
      </x:c>
      <x:c r="AI24" s="16" t="n">
        <x:v>1</x:v>
      </x:c>
      <x:c r="AJ24" s="16" t="n">
        <x:v>1</x:v>
      </x:c>
      <x:c r="AK24" s="16" t="n">
        <x:v>0</x:v>
      </x:c>
      <x:c r="AL24" s="16" t="n">
        <x:v>0</x:v>
      </x:c>
      <x:c r="AM24" s="16" t="n">
        <x:v>1</x:v>
      </x:c>
      <x:c r="AN24" s="16" t="n">
        <x:v>0</x:v>
      </x:c>
      <x:c r="AO24" s="16" t="n">
        <x:v>0</x:v>
      </x:c>
      <x:c r="AP24" s="16" t="n">
        <x:v>0</x:v>
      </x:c>
      <x:c r="AQ24" s="11"/>
      <x:c r="AR24" s="16" t="n">
        <x:v>0</x:v>
      </x:c>
      <x:c r="AS24" s="16" t="n">
        <x:v>1</x:v>
      </x:c>
      <x:c r="AT24" s="16" t="n">
        <x:v>0</x:v>
      </x:c>
      <x:c r="AU24" s="16" t="n">
        <x:v>0</x:v>
      </x:c>
      <x:c r="AV24" s="16" t="n">
        <x:v>0</x:v>
      </x:c>
      <x:c r="AW24" s="16" t="n">
        <x:v>0</x:v>
      </x:c>
      <x:c r="AX24" s="16" t="n">
        <x:v>0</x:v>
      </x:c>
      <x:c r="AY24" s="16" t="n">
        <x:v>1</x:v>
      </x:c>
      <x:c r="AZ24" s="16" t="n">
        <x:v>0</x:v>
      </x:c>
      <x:c r="BA24" s="11"/>
      <x:c r="BB24" s="11" t="str">
        <x:v>cod</x:v>
      </x:c>
      <x:c r="BC24" s="11" t="str">
        <x:v>Thuận tiện với cách nhận hàng gần đây.</x:v>
      </x:c>
      <x:c r="BD24" s="11" t="str">
        <x:v>register_now</x:v>
      </x:c>
      <x:c r="BE24" s="16" t="n">
        <x:v>1</x:v>
      </x:c>
      <x:c r="BF24" s="16" t="n">
        <x:v>0</x:v>
      </x:c>
      <x:c r="BG24" s="16" t="n">
        <x:v>1</x:v>
      </x:c>
      <x:c r="BH24" s="16" t="n">
        <x:v>1</x:v>
      </x:c>
      <x:c r="BI24" s="16" t="n">
        <x:v>1</x:v>
      </x:c>
      <x:c r="BJ24" s="16" t="n">
        <x:v>1</x:v>
      </x:c>
      <x:c r="BK24" s="16" t="n">
        <x:v>1</x:v>
      </x:c>
      <x:c r="BL24" s="11" t="str">
        <x:v>neutral</x:v>
      </x:c>
      <x:c r="BM24" s="11" t="str">
        <x:v>Đưa điều kiện đổi size ngay cạnh nút mua.</x:v>
      </x:c>
    </x:row>
    <x:row r="25" ht="64" customHeight="1">
      <x:c r="A25" s="12" t="str">
        <x:v>SYN-PH-020</x:v>
      </x:c>
      <x:c r="B25" s="12" t="str">
        <x:v>SYN</x:v>
      </x:c>
      <x:c r="C25" s="12" t="str">
        <x:v>N4</x:v>
      </x:c>
      <x:c r="D25" s="15" t="n">
        <x:v>0.5</x:v>
      </x:c>
      <x:c r="E25" s="17" t="n">
        <x:v>0</x:v>
      </x:c>
      <x:c r="F25" s="17" t="n">
        <x:v>0</x:v>
      </x:c>
      <x:c r="G25" s="12" t="str">
        <x:v>excluded</x:v>
      </x:c>
      <x:c r="H25" s="12" t="str">
        <x:v>out_of_age</x:v>
      </x:c>
      <x:c r="I25" s="12"/>
      <x:c r="J25" s="12" t="str">
        <x:v>yes</x:v>
      </x:c>
      <x:c r="K25" s="12" t="str">
        <x:v>over_44</x:v>
      </x:c>
      <x:c r="L25" s="12"/>
      <x:c r="M25" s="12"/>
      <x:c r="N25" s="12"/>
      <x:c r="O25" s="17"/>
      <x:c r="P25" s="17"/>
      <x:c r="Q25" s="17"/>
      <x:c r="R25" s="17"/>
      <x:c r="S25" s="17"/>
      <x:c r="T25" s="12"/>
      <x:c r="U25" s="12"/>
      <x:c r="V25" s="17"/>
      <x:c r="W25" s="17"/>
      <x:c r="X25" s="17"/>
      <x:c r="Y25" s="17"/>
      <x:c r="Z25" s="17"/>
      <x:c r="AA25" s="17"/>
      <x:c r="AB25" s="17"/>
      <x:c r="AC25" s="17"/>
      <x:c r="AD25" s="17"/>
      <x:c r="AE25" s="12"/>
      <x:c r="AF25" s="12"/>
      <x:c r="AG25" s="12"/>
      <x:c r="AH25" s="12"/>
      <x:c r="AI25" s="17"/>
      <x:c r="AJ25" s="17"/>
      <x:c r="AK25" s="17"/>
      <x:c r="AL25" s="17"/>
      <x:c r="AM25" s="17"/>
      <x:c r="AN25" s="17"/>
      <x:c r="AO25" s="17"/>
      <x:c r="AP25" s="17"/>
      <x:c r="AQ25" s="12"/>
      <x:c r="AR25" s="17"/>
      <x:c r="AS25" s="17"/>
      <x:c r="AT25" s="17"/>
      <x:c r="AU25" s="17"/>
      <x:c r="AV25" s="17"/>
      <x:c r="AW25" s="17"/>
      <x:c r="AX25" s="17"/>
      <x:c r="AY25" s="17"/>
      <x:c r="AZ25" s="17"/>
      <x:c r="BA25" s="12"/>
      <x:c r="BB25" s="12"/>
      <x:c r="BC25" s="12"/>
      <x:c r="BD25" s="12"/>
      <x:c r="BE25" s="17"/>
      <x:c r="BF25" s="17"/>
      <x:c r="BG25" s="17"/>
      <x:c r="BH25" s="17"/>
      <x:c r="BI25" s="17"/>
      <x:c r="BJ25" s="17"/>
      <x:c r="BK25" s="17"/>
      <x:c r="BL25" s="12"/>
      <x:c r="BM25" s="12"/>
    </x:row>
    <x:row r="26" ht="64" customHeight="1">
      <x:c r="A26" s="11" t="str">
        <x:v>SYN-PH-021</x:v>
      </x:c>
      <x:c r="B26" s="11" t="str">
        <x:v>SYN</x:v>
      </x:c>
      <x:c r="C26" s="11" t="str">
        <x:v>N4</x:v>
      </x:c>
      <x:c r="D26" s="14" t="n">
        <x:v>9.9</x:v>
      </x:c>
      <x:c r="E26" s="16" t="n">
        <x:v>1</x:v>
      </x:c>
      <x:c r="F26" s="16" t="n">
        <x:v>1</x:v>
      </x:c>
      <x:c r="G26" s="11" t="str">
        <x:v>valid</x:v>
      </x:c>
      <x:c r="H26" s="11"/>
      <x:c r="I26" s="11"/>
      <x:c r="J26" s="11" t="str">
        <x:v>yes</x:v>
      </x:c>
      <x:c r="K26" s="11" t="str">
        <x:v>age_35_44</x:v>
      </x:c>
      <x:c r="L26" s="11" t="str">
        <x:v>yes</x:v>
      </x:c>
      <x:c r="M26" s="11" t="str">
        <x:v>danang</x:v>
      </x:c>
      <x:c r="N26" s="11" t="str">
        <x:v>every_2_3_months</x:v>
      </x:c>
      <x:c r="O26" s="16" t="n">
        <x:v>1</x:v>
      </x:c>
      <x:c r="P26" s="16" t="n">
        <x:v>0</x:v>
      </x:c>
      <x:c r="Q26" s="16" t="n">
        <x:v>0</x:v>
      </x:c>
      <x:c r="R26" s="16" t="n">
        <x:v>0</x:v>
      </x:c>
      <x:c r="S26" s="16" t="n">
        <x:v>0</x:v>
      </x:c>
      <x:c r="T26" s="11"/>
      <x:c r="U26" s="11" t="str">
        <x:v>v800k_1199k</x:v>
      </x:c>
      <x:c r="V26" s="16" t="n">
        <x:v>1</x:v>
      </x:c>
      <x:c r="W26" s="16" t="n">
        <x:v>0</x:v>
      </x:c>
      <x:c r="X26" s="16" t="n">
        <x:v>1</x:v>
      </x:c>
      <x:c r="Y26" s="16" t="n">
        <x:v>0</x:v>
      </x:c>
      <x:c r="Z26" s="16" t="n">
        <x:v>0</x:v>
      </x:c>
      <x:c r="AA26" s="16" t="n">
        <x:v>0</x:v>
      </x:c>
      <x:c r="AB26" s="16" t="n">
        <x:v>1</x:v>
      </x:c>
      <x:c r="AC26" s="16" t="n">
        <x:v>0</x:v>
      </x:c>
      <x:c r="AD26" s="16" t="n">
        <x:v>1</x:v>
      </x:c>
      <x:c r="AE26" s="11" t="str">
        <x:v>Khó tìm lại sản phẩm đã xem trên thiết bị khác.</x:v>
      </x:c>
      <x:c r="AF26" s="11" t="str">
        <x:v>size_uncertain</x:v>
      </x:c>
      <x:c r="AG26" s="11" t="str">
        <x:v>Bảng size chỉ có S/M/L nên khó so với số đo áo đang mặc.</x:v>
      </x:c>
      <x:c r="AH26" s="11" t="str">
        <x:v>no</x:v>
      </x:c>
      <x:c r="AI26" s="16"/>
      <x:c r="AJ26" s="16"/>
      <x:c r="AK26" s="16"/>
      <x:c r="AL26" s="16"/>
      <x:c r="AM26" s="16"/>
      <x:c r="AN26" s="16"/>
      <x:c r="AO26" s="16"/>
      <x:c r="AP26" s="16"/>
      <x:c r="AQ26" s="11"/>
      <x:c r="AR26" s="16" t="n">
        <x:v>1</x:v>
      </x:c>
      <x:c r="AS26" s="16" t="n">
        <x:v>0</x:v>
      </x:c>
      <x:c r="AT26" s="16" t="n">
        <x:v>0</x:v>
      </x:c>
      <x:c r="AU26" s="16" t="n">
        <x:v>0</x:v>
      </x:c>
      <x:c r="AV26" s="16" t="n">
        <x:v>1</x:v>
      </x:c>
      <x:c r="AW26" s="16" t="n">
        <x:v>0</x:v>
      </x:c>
      <x:c r="AX26" s="16" t="n">
        <x:v>0</x:v>
      </x:c>
      <x:c r="AY26" s="16" t="n">
        <x:v>1</x:v>
      </x:c>
      <x:c r="AZ26" s="16" t="n">
        <x:v>0</x:v>
      </x:c>
      <x:c r="BA26" s="11"/>
      <x:c r="BB26" s="11" t="str">
        <x:v>prepaid</x:v>
      </x:c>
      <x:c r="BC26" s="11" t="str">
        <x:v>Đã quen thao tác thanh toán trước.</x:v>
      </x:c>
      <x:c r="BD26" s="11" t="str">
        <x:v>unsure</x:v>
      </x:c>
      <x:c r="BE26" s="16" t="n">
        <x:v>0</x:v>
      </x:c>
      <x:c r="BF26" s="16" t="n">
        <x:v>1</x:v>
      </x:c>
      <x:c r="BG26" s="16" t="n">
        <x:v>1</x:v>
      </x:c>
      <x:c r="BH26" s="16" t="n">
        <x:v>1</x:v>
      </x:c>
      <x:c r="BI26" s="16" t="n">
        <x:v>1</x:v>
      </x:c>
      <x:c r="BJ26" s="16" t="n">
        <x:v>1</x:v>
      </x:c>
      <x:c r="BK26" s="16" t="n">
        <x:v>1</x:v>
      </x:c>
      <x:c r="BL26" s="11" t="str">
        <x:v>fairly_willing</x:v>
      </x:c>
      <x:c r="BM26" s="11" t="str">
        <x:v>Thêm bảng số đo chi tiết theo từng mẫu.</x:v>
      </x:c>
    </x:row>
    <x:row r="27" ht="64" customHeight="1">
      <x:c r="A27" s="12" t="str">
        <x:v>SYN-PH-022</x:v>
      </x:c>
      <x:c r="B27" s="12" t="str">
        <x:v>SYN</x:v>
      </x:c>
      <x:c r="C27" s="12" t="str">
        <x:v>N4</x:v>
      </x:c>
      <x:c r="D27" s="15" t="n">
        <x:v>8.2</x:v>
      </x:c>
      <x:c r="E27" s="17" t="n">
        <x:v>1</x:v>
      </x:c>
      <x:c r="F27" s="17" t="n">
        <x:v>1</x:v>
      </x:c>
      <x:c r="G27" s="12" t="str">
        <x:v>valid</x:v>
      </x:c>
      <x:c r="H27" s="12"/>
      <x:c r="I27" s="12"/>
      <x:c r="J27" s="12" t="str">
        <x:v>yes</x:v>
      </x:c>
      <x:c r="K27" s="12" t="str">
        <x:v>age_25_34</x:v>
      </x:c>
      <x:c r="L27" s="12" t="str">
        <x:v>yes</x:v>
      </x:c>
      <x:c r="M27" s="12" t="str">
        <x:v>other_urban</x:v>
      </x:c>
      <x:c r="N27" s="12" t="str">
        <x:v>monthly</x:v>
      </x:c>
      <x:c r="O27" s="17" t="n">
        <x:v>1</x:v>
      </x:c>
      <x:c r="P27" s="17" t="n">
        <x:v>1</x:v>
      </x:c>
      <x:c r="Q27" s="17" t="n">
        <x:v>0</x:v>
      </x:c>
      <x:c r="R27" s="17" t="n">
        <x:v>1</x:v>
      </x:c>
      <x:c r="S27" s="17" t="n">
        <x:v>0</x:v>
      </x:c>
      <x:c r="T27" s="12"/>
      <x:c r="U27" s="12" t="str">
        <x:v>v500k_799k</x:v>
      </x:c>
      <x:c r="V27" s="17" t="n">
        <x:v>0</x:v>
      </x:c>
      <x:c r="W27" s="17" t="n">
        <x:v>0</x:v>
      </x:c>
      <x:c r="X27" s="17" t="n">
        <x:v>0</x:v>
      </x:c>
      <x:c r="Y27" s="17" t="n">
        <x:v>0</x:v>
      </x:c>
      <x:c r="Z27" s="17" t="n">
        <x:v>1</x:v>
      </x:c>
      <x:c r="AA27" s="17" t="n">
        <x:v>0</x:v>
      </x:c>
      <x:c r="AB27" s="17" t="n">
        <x:v>0</x:v>
      </x:c>
      <x:c r="AC27" s="17" t="n">
        <x:v>0</x:v>
      </x:c>
      <x:c r="AD27" s="17" t="n">
        <x:v>0</x:v>
      </x:c>
      <x:c r="AE27" s="12"/>
      <x:c r="AF27" s="12" t="str">
        <x:v>stock_unclear</x:v>
      </x:c>
      <x:c r="AG27" s="12" t="str">
        <x:v>Màu mong muốn không có thông tin tồn rõ ràng.</x:v>
      </x:c>
      <x:c r="AH27" s="12" t="str">
        <x:v>yes</x:v>
      </x:c>
      <x:c r="AI27" s="17" t="n">
        <x:v>0</x:v>
      </x:c>
      <x:c r="AJ27" s="17" t="n">
        <x:v>1</x:v>
      </x:c>
      <x:c r="AK27" s="17" t="n">
        <x:v>0</x:v>
      </x:c>
      <x:c r="AL27" s="17" t="n">
        <x:v>1</x:v>
      </x:c>
      <x:c r="AM27" s="17" t="n">
        <x:v>0</x:v>
      </x:c>
      <x:c r="AN27" s="17" t="n">
        <x:v>0</x:v>
      </x:c>
      <x:c r="AO27" s="17" t="n">
        <x:v>0</x:v>
      </x:c>
      <x:c r="AP27" s="17" t="n">
        <x:v>0</x:v>
      </x:c>
      <x:c r="AQ27" s="12"/>
      <x:c r="AR27" s="17" t="n">
        <x:v>0</x:v>
      </x:c>
      <x:c r="AS27" s="17" t="n">
        <x:v>1</x:v>
      </x:c>
      <x:c r="AT27" s="17" t="n">
        <x:v>0</x:v>
      </x:c>
      <x:c r="AU27" s="17" t="n">
        <x:v>0</x:v>
      </x:c>
      <x:c r="AV27" s="17" t="n">
        <x:v>1</x:v>
      </x:c>
      <x:c r="AW27" s="17" t="n">
        <x:v>1</x:v>
      </x:c>
      <x:c r="AX27" s="17" t="n">
        <x:v>0</x:v>
      </x:c>
      <x:c r="AY27" s="17" t="n">
        <x:v>0</x:v>
      </x:c>
      <x:c r="AZ27" s="17" t="n">
        <x:v>0</x:v>
      </x:c>
      <x:c r="BA27" s="12"/>
      <x:c r="BB27" s="12" t="str">
        <x:v>prepaid</x:v>
      </x:c>
      <x:c r="BC27" s="12" t="str">
        <x:v>Đã quen thao tác thanh toán trước.</x:v>
      </x:c>
      <x:c r="BD27" s="12" t="str">
        <x:v>guest</x:v>
      </x:c>
      <x:c r="BE27" s="17" t="n">
        <x:v>1</x:v>
      </x:c>
      <x:c r="BF27" s="17" t="n">
        <x:v>1</x:v>
      </x:c>
      <x:c r="BG27" s="17" t="n">
        <x:v>0</x:v>
      </x:c>
      <x:c r="BH27" s="17" t="n">
        <x:v>1</x:v>
      </x:c>
      <x:c r="BI27" s="17" t="n">
        <x:v>1</x:v>
      </x:c>
      <x:c r="BJ27" s="17" t="n">
        <x:v>0</x:v>
      </x:c>
      <x:c r="BK27" s="17" t="n">
        <x:v>0</x:v>
      </x:c>
      <x:c r="BL27" s="12" t="str">
        <x:v>very_willing</x:v>
      </x:c>
      <x:c r="BM27" s="12" t="str">
        <x:v>Hiển thị tồn theo từng size và màu.</x:v>
      </x:c>
    </x:row>
    <x:row r="28" ht="64" customHeight="1">
      <x:c r="A28" s="11" t="str">
        <x:v>SYN-PH-023</x:v>
      </x:c>
      <x:c r="B28" s="11" t="str">
        <x:v>SYN</x:v>
      </x:c>
      <x:c r="C28" s="11" t="str">
        <x:v>N4</x:v>
      </x:c>
      <x:c r="D28" s="14" t="n">
        <x:v>0.9</x:v>
      </x:c>
      <x:c r="E28" s="16" t="n">
        <x:v>0</x:v>
      </x:c>
      <x:c r="F28" s="16" t="n">
        <x:v>0</x:v>
      </x:c>
      <x:c r="G28" s="11" t="str">
        <x:v>excluded</x:v>
      </x:c>
      <x:c r="H28" s="11" t="str">
        <x:v>out_of_age</x:v>
      </x:c>
      <x:c r="I28" s="11"/>
      <x:c r="J28" s="11" t="str">
        <x:v>yes</x:v>
      </x:c>
      <x:c r="K28" s="11" t="str">
        <x:v>over_44</x:v>
      </x:c>
      <x:c r="L28" s="11"/>
      <x:c r="M28" s="11"/>
      <x:c r="N28" s="11"/>
      <x:c r="O28" s="16"/>
      <x:c r="P28" s="16"/>
      <x:c r="Q28" s="16"/>
      <x:c r="R28" s="16"/>
      <x:c r="S28" s="16"/>
      <x:c r="T28" s="11"/>
      <x:c r="U28" s="11"/>
      <x:c r="V28" s="16"/>
      <x:c r="W28" s="16"/>
      <x:c r="X28" s="16"/>
      <x:c r="Y28" s="16"/>
      <x:c r="Z28" s="16"/>
      <x:c r="AA28" s="16"/>
      <x:c r="AB28" s="16"/>
      <x:c r="AC28" s="16"/>
      <x:c r="AD28" s="16"/>
      <x:c r="AE28" s="11"/>
      <x:c r="AF28" s="11"/>
      <x:c r="AG28" s="11"/>
      <x:c r="AH28" s="11"/>
      <x:c r="AI28" s="16"/>
      <x:c r="AJ28" s="16"/>
      <x:c r="AK28" s="16"/>
      <x:c r="AL28" s="16"/>
      <x:c r="AM28" s="16"/>
      <x:c r="AN28" s="16"/>
      <x:c r="AO28" s="16"/>
      <x:c r="AP28" s="16"/>
      <x:c r="AQ28" s="11"/>
      <x:c r="AR28" s="16"/>
      <x:c r="AS28" s="16"/>
      <x:c r="AT28" s="16"/>
      <x:c r="AU28" s="16"/>
      <x:c r="AV28" s="16"/>
      <x:c r="AW28" s="16"/>
      <x:c r="AX28" s="16"/>
      <x:c r="AY28" s="16"/>
      <x:c r="AZ28" s="16"/>
      <x:c r="BA28" s="11"/>
      <x:c r="BB28" s="11"/>
      <x:c r="BC28" s="11"/>
      <x:c r="BD28" s="11"/>
      <x:c r="BE28" s="16"/>
      <x:c r="BF28" s="16"/>
      <x:c r="BG28" s="16"/>
      <x:c r="BH28" s="16"/>
      <x:c r="BI28" s="16"/>
      <x:c r="BJ28" s="16"/>
      <x:c r="BK28" s="16"/>
      <x:c r="BL28" s="11"/>
      <x:c r="BM28" s="11"/>
    </x:row>
    <x:row r="29" ht="64" customHeight="1">
      <x:c r="A29" s="12" t="str">
        <x:v>SYN-PH-024</x:v>
      </x:c>
      <x:c r="B29" s="12" t="str">
        <x:v>SYN</x:v>
      </x:c>
      <x:c r="C29" s="12" t="str">
        <x:v>N4</x:v>
      </x:c>
      <x:c r="D29" s="15" t="n">
        <x:v>8.2</x:v>
      </x:c>
      <x:c r="E29" s="17" t="n">
        <x:v>1</x:v>
      </x:c>
      <x:c r="F29" s="17" t="n">
        <x:v>1</x:v>
      </x:c>
      <x:c r="G29" s="12" t="str">
        <x:v>valid</x:v>
      </x:c>
      <x:c r="H29" s="12"/>
      <x:c r="I29" s="12"/>
      <x:c r="J29" s="12" t="str">
        <x:v>yes</x:v>
      </x:c>
      <x:c r="K29" s="12" t="str">
        <x:v>age_25_34</x:v>
      </x:c>
      <x:c r="L29" s="12" t="str">
        <x:v>yes</x:v>
      </x:c>
      <x:c r="M29" s="12" t="str">
        <x:v>hanoi</x:v>
      </x:c>
      <x:c r="N29" s="12" t="str">
        <x:v>monthly_2_3</x:v>
      </x:c>
      <x:c r="O29" s="17" t="n">
        <x:v>1</x:v>
      </x:c>
      <x:c r="P29" s="17" t="n">
        <x:v>1</x:v>
      </x:c>
      <x:c r="Q29" s="17" t="n">
        <x:v>0</x:v>
      </x:c>
      <x:c r="R29" s="17" t="n">
        <x:v>0</x:v>
      </x:c>
      <x:c r="S29" s="17" t="n">
        <x:v>0</x:v>
      </x:c>
      <x:c r="T29" s="12"/>
      <x:c r="U29" s="12" t="str">
        <x:v>v800k_1199k</x:v>
      </x:c>
      <x:c r="V29" s="17" t="n">
        <x:v>1</x:v>
      </x:c>
      <x:c r="W29" s="17" t="n">
        <x:v>0</x:v>
      </x:c>
      <x:c r="X29" s="17" t="n">
        <x:v>0</x:v>
      </x:c>
      <x:c r="Y29" s="17" t="n">
        <x:v>0</x:v>
      </x:c>
      <x:c r="Z29" s="17" t="n">
        <x:v>1</x:v>
      </x:c>
      <x:c r="AA29" s="17" t="n">
        <x:v>1</x:v>
      </x:c>
      <x:c r="AB29" s="17" t="n">
        <x:v>1</x:v>
      </x:c>
      <x:c r="AC29" s="17" t="n">
        <x:v>0</x:v>
      </x:c>
      <x:c r="AD29" s="17" t="n">
        <x:v>0</x:v>
      </x:c>
      <x:c r="AE29" s="12"/>
      <x:c r="AF29" s="12" t="str">
        <x:v>payment_concern</x:v>
      </x:c>
      <x:c r="AG29" s="12" t="str">
        <x:v>Cần nhận diện rõ nơi xử lý thanh toán trước khi tiếp tục.</x:v>
      </x:c>
      <x:c r="AH29" s="12" t="str">
        <x:v>no</x:v>
      </x:c>
      <x:c r="AI29" s="17"/>
      <x:c r="AJ29" s="17"/>
      <x:c r="AK29" s="17"/>
      <x:c r="AL29" s="17"/>
      <x:c r="AM29" s="17"/>
      <x:c r="AN29" s="17"/>
      <x:c r="AO29" s="17"/>
      <x:c r="AP29" s="17"/>
      <x:c r="AQ29" s="12"/>
      <x:c r="AR29" s="17" t="n">
        <x:v>0</x:v>
      </x:c>
      <x:c r="AS29" s="17" t="n">
        <x:v>1</x:v>
      </x:c>
      <x:c r="AT29" s="17" t="n">
        <x:v>0</x:v>
      </x:c>
      <x:c r="AU29" s="17" t="n">
        <x:v>0</x:v>
      </x:c>
      <x:c r="AV29" s="17" t="n">
        <x:v>0</x:v>
      </x:c>
      <x:c r="AW29" s="17" t="n">
        <x:v>1</x:v>
      </x:c>
      <x:c r="AX29" s="17" t="n">
        <x:v>0</x:v>
      </x:c>
      <x:c r="AY29" s="17" t="n">
        <x:v>1</x:v>
      </x:c>
      <x:c r="AZ29" s="17" t="n">
        <x:v>0</x:v>
      </x:c>
      <x:c r="BA29" s="12"/>
      <x:c r="BB29" s="12" t="str">
        <x:v>prepaid</x:v>
      </x:c>
      <x:c r="BC29" s="12" t="str">
        <x:v>Tiện cho người nhận không cần chuẩn bị tiền.</x:v>
      </x:c>
      <x:c r="BD29" s="12" t="str">
        <x:v>depends_on_benefits</x:v>
      </x:c>
      <x:c r="BE29" s="17" t="n">
        <x:v>1</x:v>
      </x:c>
      <x:c r="BF29" s="17" t="n">
        <x:v>0</x:v>
      </x:c>
      <x:c r="BG29" s="17" t="n">
        <x:v>1</x:v>
      </x:c>
      <x:c r="BH29" s="17" t="n">
        <x:v>1</x:v>
      </x:c>
      <x:c r="BI29" s="17" t="n">
        <x:v>1</x:v>
      </x:c>
      <x:c r="BJ29" s="17" t="n">
        <x:v>1</x:v>
      </x:c>
      <x:c r="BK29" s="17" t="n">
        <x:v>0</x:v>
      </x:c>
      <x:c r="BL29" s="12" t="str">
        <x:v>neutral</x:v>
      </x:c>
      <x:c r="BM29" s="12" t="str">
        <x:v>Có xác nhận rõ kết quả thanh toán và hướng dẫn khi lỗi.</x:v>
      </x:c>
    </x:row>
    <x:row r="30" ht="64" customHeight="1">
      <x:c r="A30" s="11" t="str">
        <x:v>SYN-PH-025</x:v>
      </x:c>
      <x:c r="B30" s="11" t="str">
        <x:v>SYN</x:v>
      </x:c>
      <x:c r="C30" s="11" t="str">
        <x:v>N4</x:v>
      </x:c>
      <x:c r="D30" s="14" t="n">
        <x:v>6.1</x:v>
      </x:c>
      <x:c r="E30" s="16" t="n">
        <x:v>1</x:v>
      </x:c>
      <x:c r="F30" s="16" t="n">
        <x:v>0</x:v>
      </x:c>
      <x:c r="G30" s="11" t="str">
        <x:v>excluded</x:v>
      </x:c>
      <x:c r="H30" s="11" t="str">
        <x:v>incomplete</x:v>
      </x:c>
      <x:c r="I30" s="11"/>
      <x:c r="J30" s="11" t="str">
        <x:v>yes</x:v>
      </x:c>
      <x:c r="K30" s="11" t="str">
        <x:v>age_18_24</x:v>
      </x:c>
      <x:c r="L30" s="11" t="str">
        <x:v>yes</x:v>
      </x:c>
      <x:c r="M30" s="11" t="str">
        <x:v>hcm</x:v>
      </x:c>
      <x:c r="N30" s="11" t="str">
        <x:v>monthly</x:v>
      </x:c>
      <x:c r="O30" s="16" t="n">
        <x:v>0</x:v>
      </x:c>
      <x:c r="P30" s="16" t="n">
        <x:v>1</x:v>
      </x:c>
      <x:c r="Q30" s="16" t="n">
        <x:v>1</x:v>
      </x:c>
      <x:c r="R30" s="16" t="n">
        <x:v>0</x:v>
      </x:c>
      <x:c r="S30" s="16" t="n">
        <x:v>0</x:v>
      </x:c>
      <x:c r="T30" s="11"/>
      <x:c r="U30" s="11" t="str">
        <x:v>under_300k</x:v>
      </x:c>
      <x:c r="V30" s="16" t="n">
        <x:v>1</x:v>
      </x:c>
      <x:c r="W30" s="16" t="n">
        <x:v>1</x:v>
      </x:c>
      <x:c r="X30" s="16" t="n">
        <x:v>0</x:v>
      </x:c>
      <x:c r="Y30" s="16" t="n">
        <x:v>1</x:v>
      </x:c>
      <x:c r="Z30" s="16" t="n">
        <x:v>0</x:v>
      </x:c>
      <x:c r="AA30" s="16" t="n">
        <x:v>1</x:v>
      </x:c>
      <x:c r="AB30" s="16" t="n">
        <x:v>0</x:v>
      </x:c>
      <x:c r="AC30" s="16" t="n">
        <x:v>0</x:v>
      </x:c>
      <x:c r="AD30" s="16" t="n">
        <x:v>0</x:v>
      </x:c>
      <x:c r="AE30" s="11"/>
      <x:c r="AF30" s="11" t="str">
        <x:v>photo_mismatch</x:v>
      </x:c>
      <x:c r="AG30" s="11" t="str">
        <x:v>Thiếu ảnh cận chất liệu và đường may.</x:v>
      </x:c>
      <x:c r="AH30" s="11" t="str">
        <x:v>yes</x:v>
      </x:c>
      <x:c r="AI30" s="16" t="n">
        <x:v>1</x:v>
      </x:c>
      <x:c r="AJ30" s="16" t="n">
        <x:v>0</x:v>
      </x:c>
      <x:c r="AK30" s="16" t="n">
        <x:v>0</x:v>
      </x:c>
      <x:c r="AL30" s="16" t="n">
        <x:v>0</x:v>
      </x:c>
      <x:c r="AM30" s="16" t="n">
        <x:v>1</x:v>
      </x:c>
      <x:c r="AN30" s="16" t="n">
        <x:v>0</x:v>
      </x:c>
      <x:c r="AO30" s="16" t="n">
        <x:v>0</x:v>
      </x:c>
      <x:c r="AP30" s="16" t="n">
        <x:v>0</x:v>
      </x:c>
      <x:c r="AQ30" s="11"/>
      <x:c r="AR30" s="16" t="n">
        <x:v>1</x:v>
      </x:c>
      <x:c r="AS30" s="16" t="n">
        <x:v>0</x:v>
      </x:c>
      <x:c r="AT30" s="16" t="n">
        <x:v>0</x:v>
      </x:c>
      <x:c r="AU30" s="16" t="n">
        <x:v>0</x:v>
      </x:c>
      <x:c r="AV30" s="16" t="n">
        <x:v>1</x:v>
      </x:c>
      <x:c r="AW30" s="16" t="n">
        <x:v>0</x:v>
      </x:c>
      <x:c r="AX30" s="16" t="n">
        <x:v>1</x:v>
      </x:c>
      <x:c r="AY30" s="16" t="n">
        <x:v>0</x:v>
      </x:c>
      <x:c r="AZ30" s="16" t="n">
        <x:v>0</x:v>
      </x:c>
      <x:c r="BA30" s="11"/>
      <x:c r="BB30" s="11"/>
      <x:c r="BC30" s="11"/>
      <x:c r="BD30" s="11"/>
      <x:c r="BE30" s="16"/>
      <x:c r="BF30" s="16"/>
      <x:c r="BG30" s="16"/>
      <x:c r="BH30" s="16"/>
      <x:c r="BI30" s="16"/>
      <x:c r="BJ30" s="16"/>
      <x:c r="BK30" s="16"/>
      <x:c r="BL30" s="11"/>
      <x:c r="BM30" s="11"/>
    </x:row>
    <x:row r="31" ht="64" customHeight="1">
      <x:c r="A31" s="12" t="str">
        <x:v>SYN-PH-026</x:v>
      </x:c>
      <x:c r="B31" s="12" t="str">
        <x:v>SYN</x:v>
      </x:c>
      <x:c r="C31" s="12" t="str">
        <x:v>N4</x:v>
      </x:c>
      <x:c r="D31" s="15" t="n">
        <x:v>11.6</x:v>
      </x:c>
      <x:c r="E31" s="17" t="n">
        <x:v>1</x:v>
      </x:c>
      <x:c r="F31" s="17" t="n">
        <x:v>1</x:v>
      </x:c>
      <x:c r="G31" s="12" t="str">
        <x:v>valid</x:v>
      </x:c>
      <x:c r="H31" s="12"/>
      <x:c r="I31" s="12"/>
      <x:c r="J31" s="12" t="str">
        <x:v>yes</x:v>
      </x:c>
      <x:c r="K31" s="12" t="str">
        <x:v>age_18_24</x:v>
      </x:c>
      <x:c r="L31" s="12" t="str">
        <x:v>yes</x:v>
      </x:c>
      <x:c r="M31" s="12" t="str">
        <x:v>hcm</x:v>
      </x:c>
      <x:c r="N31" s="12" t="str">
        <x:v>every_2_3_months</x:v>
      </x:c>
      <x:c r="O31" s="17" t="n">
        <x:v>1</x:v>
      </x:c>
      <x:c r="P31" s="17" t="n">
        <x:v>1</x:v>
      </x:c>
      <x:c r="Q31" s="17" t="n">
        <x:v>1</x:v>
      </x:c>
      <x:c r="R31" s="17" t="n">
        <x:v>0</x:v>
      </x:c>
      <x:c r="S31" s="17" t="n">
        <x:v>0</x:v>
      </x:c>
      <x:c r="T31" s="12"/>
      <x:c r="U31" s="12" t="str">
        <x:v>v300k_499k</x:v>
      </x:c>
      <x:c r="V31" s="17" t="n">
        <x:v>0</x:v>
      </x:c>
      <x:c r="W31" s="17" t="n">
        <x:v>1</x:v>
      </x:c>
      <x:c r="X31" s="17" t="n">
        <x:v>0</x:v>
      </x:c>
      <x:c r="Y31" s="17" t="n">
        <x:v>0</x:v>
      </x:c>
      <x:c r="Z31" s="17" t="n">
        <x:v>1</x:v>
      </x:c>
      <x:c r="AA31" s="17" t="n">
        <x:v>0</x:v>
      </x:c>
      <x:c r="AB31" s="17" t="n">
        <x:v>0</x:v>
      </x:c>
      <x:c r="AC31" s="17" t="n">
        <x:v>0</x:v>
      </x:c>
      <x:c r="AD31" s="17" t="n">
        <x:v>0</x:v>
      </x:c>
      <x:c r="AE31" s="12"/>
      <x:c r="AF31" s="12" t="str">
        <x:v>photo_mismatch</x:v>
      </x:c>
      <x:c r="AG31" s="12" t="str">
        <x:v>Ảnh chụp không thể hiện rõ độ dày vải.</x:v>
      </x:c>
      <x:c r="AH31" s="12" t="str">
        <x:v>no</x:v>
      </x:c>
      <x:c r="AI31" s="17"/>
      <x:c r="AJ31" s="17"/>
      <x:c r="AK31" s="17"/>
      <x:c r="AL31" s="17"/>
      <x:c r="AM31" s="17"/>
      <x:c r="AN31" s="17"/>
      <x:c r="AO31" s="17"/>
      <x:c r="AP31" s="17"/>
      <x:c r="AQ31" s="12"/>
      <x:c r="AR31" s="17" t="n">
        <x:v>0</x:v>
      </x:c>
      <x:c r="AS31" s="17" t="n">
        <x:v>1</x:v>
      </x:c>
      <x:c r="AT31" s="17" t="n">
        <x:v>0</x:v>
      </x:c>
      <x:c r="AU31" s="17" t="n">
        <x:v>1</x:v>
      </x:c>
      <x:c r="AV31" s="17" t="n">
        <x:v>0</x:v>
      </x:c>
      <x:c r="AW31" s="17" t="n">
        <x:v>0</x:v>
      </x:c>
      <x:c r="AX31" s="17" t="n">
        <x:v>0</x:v>
      </x:c>
      <x:c r="AY31" s="17" t="n">
        <x:v>0</x:v>
      </x:c>
      <x:c r="AZ31" s="17" t="n">
        <x:v>0</x:v>
      </x:c>
      <x:c r="BA31" s="12"/>
      <x:c r="BB31" s="12" t="str">
        <x:v>prepaid</x:v>
      </x:c>
      <x:c r="BC31" s="12" t="str">
        <x:v>Đã quen thao tác thanh toán trước.</x:v>
      </x:c>
      <x:c r="BD31" s="12" t="str">
        <x:v>depends_on_benefits</x:v>
      </x:c>
      <x:c r="BE31" s="17" t="n">
        <x:v>1</x:v>
      </x:c>
      <x:c r="BF31" s="17" t="n">
        <x:v>0</x:v>
      </x:c>
      <x:c r="BG31" s="17" t="n">
        <x:v>0</x:v>
      </x:c>
      <x:c r="BH31" s="17" t="n">
        <x:v>1</x:v>
      </x:c>
      <x:c r="BI31" s="17" t="n">
        <x:v>1</x:v>
      </x:c>
      <x:c r="BJ31" s="17" t="n">
        <x:v>1</x:v>
      </x:c>
      <x:c r="BK31" s="17" t="n">
        <x:v>1</x:v>
      </x:c>
      <x:c r="BL31" s="12" t="str">
        <x:v>neutral</x:v>
      </x:c>
      <x:c r="BM31" s="12" t="str">
        <x:v>Cho xem ảnh mặt trước, sau và chi tiết đường may.</x:v>
      </x:c>
    </x:row>
    <x:row r="32" ht="64" customHeight="1">
      <x:c r="A32" s="11" t="str">
        <x:v>SYN-PH-027</x:v>
      </x:c>
      <x:c r="B32" s="11" t="str">
        <x:v>SYN</x:v>
      </x:c>
      <x:c r="C32" s="11" t="str">
        <x:v>N4</x:v>
      </x:c>
      <x:c r="D32" s="14" t="n">
        <x:v>7.3</x:v>
      </x:c>
      <x:c r="E32" s="16" t="n">
        <x:v>1</x:v>
      </x:c>
      <x:c r="F32" s="16" t="n">
        <x:v>1</x:v>
      </x:c>
      <x:c r="G32" s="11" t="str">
        <x:v>valid</x:v>
      </x:c>
      <x:c r="H32" s="11"/>
      <x:c r="I32" s="11"/>
      <x:c r="J32" s="11" t="str">
        <x:v>yes</x:v>
      </x:c>
      <x:c r="K32" s="11" t="str">
        <x:v>age_18_24</x:v>
      </x:c>
      <x:c r="L32" s="11" t="str">
        <x:v>yes</x:v>
      </x:c>
      <x:c r="M32" s="11" t="str">
        <x:v>hanoi</x:v>
      </x:c>
      <x:c r="N32" s="11" t="str">
        <x:v>every_2_3_months</x:v>
      </x:c>
      <x:c r="O32" s="16" t="n">
        <x:v>1</x:v>
      </x:c>
      <x:c r="P32" s="16" t="n">
        <x:v>1</x:v>
      </x:c>
      <x:c r="Q32" s="16" t="n">
        <x:v>0</x:v>
      </x:c>
      <x:c r="R32" s="16" t="n">
        <x:v>0</x:v>
      </x:c>
      <x:c r="S32" s="16" t="n">
        <x:v>1</x:v>
      </x:c>
      <x:c r="T32" s="11" t="str">
        <x:v>Ứng dụng riêng của cửa hàng</x:v>
      </x:c>
      <x:c r="U32" s="11" t="str">
        <x:v>v300k_499k</x:v>
      </x:c>
      <x:c r="V32" s="16" t="n">
        <x:v>0</x:v>
      </x:c>
      <x:c r="W32" s="16" t="n">
        <x:v>0</x:v>
      </x:c>
      <x:c r="X32" s="16" t="n">
        <x:v>0</x:v>
      </x:c>
      <x:c r="Y32" s="16" t="n">
        <x:v>1</x:v>
      </x:c>
      <x:c r="Z32" s="16" t="n">
        <x:v>0</x:v>
      </x:c>
      <x:c r="AA32" s="16" t="n">
        <x:v>0</x:v>
      </x:c>
      <x:c r="AB32" s="16" t="n">
        <x:v>0</x:v>
      </x:c>
      <x:c r="AC32" s="16" t="n">
        <x:v>0</x:v>
      </x:c>
      <x:c r="AD32" s="16" t="n">
        <x:v>0</x:v>
      </x:c>
      <x:c r="AE32" s="11"/>
      <x:c r="AF32" s="11" t="str">
        <x:v>late_total</x:v>
      </x:c>
      <x:c r="AG32" s="11" t="str">
        <x:v>Mức giảm voucher thay đổi khi chọn phương thức giao.</x:v>
      </x:c>
      <x:c r="AH32" s="11" t="str">
        <x:v>no</x:v>
      </x:c>
      <x:c r="AI32" s="16"/>
      <x:c r="AJ32" s="16"/>
      <x:c r="AK32" s="16"/>
      <x:c r="AL32" s="16"/>
      <x:c r="AM32" s="16"/>
      <x:c r="AN32" s="16"/>
      <x:c r="AO32" s="16"/>
      <x:c r="AP32" s="16"/>
      <x:c r="AQ32" s="11"/>
      <x:c r="AR32" s="16" t="n">
        <x:v>0</x:v>
      </x:c>
      <x:c r="AS32" s="16" t="n">
        <x:v>0</x:v>
      </x:c>
      <x:c r="AT32" s="16" t="n">
        <x:v>0</x:v>
      </x:c>
      <x:c r="AU32" s="16" t="n">
        <x:v>0</x:v>
      </x:c>
      <x:c r="AV32" s="16" t="n">
        <x:v>1</x:v>
      </x:c>
      <x:c r="AW32" s="16" t="n">
        <x:v>0</x:v>
      </x:c>
      <x:c r="AX32" s="16" t="n">
        <x:v>0</x:v>
      </x:c>
      <x:c r="AY32" s="16" t="n">
        <x:v>0</x:v>
      </x:c>
      <x:c r="AZ32" s="16" t="n">
        <x:v>0</x:v>
      </x:c>
      <x:c r="BA32" s="11"/>
      <x:c r="BB32" s="11" t="str">
        <x:v>cod</x:v>
      </x:c>
      <x:c r="BC32" s="11" t="str">
        <x:v>Muốn nhận hàng rồi mới thanh toán.</x:v>
      </x:c>
      <x:c r="BD32" s="11" t="str">
        <x:v>register_now</x:v>
      </x:c>
      <x:c r="BE32" s="16" t="n">
        <x:v>1</x:v>
      </x:c>
      <x:c r="BF32" s="16" t="n">
        <x:v>1</x:v>
      </x:c>
      <x:c r="BG32" s="16" t="n">
        <x:v>0</x:v>
      </x:c>
      <x:c r="BH32" s="16" t="n">
        <x:v>1</x:v>
      </x:c>
      <x:c r="BI32" s="16" t="n">
        <x:v>1</x:v>
      </x:c>
      <x:c r="BJ32" s="16" t="n">
        <x:v>1</x:v>
      </x:c>
      <x:c r="BK32" s="16" t="n">
        <x:v>1</x:v>
      </x:c>
      <x:c r="BL32" s="11" t="str">
        <x:v>fairly_willing</x:v>
      </x:c>
      <x:c r="BM32" s="11" t="str">
        <x:v>Giải thích vì sao mã giảm giá không áp dụng.</x:v>
      </x:c>
    </x:row>
    <x:row r="33" ht="64" customHeight="1">
      <x:c r="A33" s="12" t="str">
        <x:v>SYN-PH-028</x:v>
      </x:c>
      <x:c r="B33" s="12" t="str">
        <x:v>SYN</x:v>
      </x:c>
      <x:c r="C33" s="12" t="str">
        <x:v>N4</x:v>
      </x:c>
      <x:c r="D33" s="15" t="n">
        <x:v>7.7</x:v>
      </x:c>
      <x:c r="E33" s="17" t="n">
        <x:v>1</x:v>
      </x:c>
      <x:c r="F33" s="17" t="n">
        <x:v>1</x:v>
      </x:c>
      <x:c r="G33" s="12" t="str">
        <x:v>valid</x:v>
      </x:c>
      <x:c r="H33" s="12"/>
      <x:c r="I33" s="12"/>
      <x:c r="J33" s="12" t="str">
        <x:v>yes</x:v>
      </x:c>
      <x:c r="K33" s="12" t="str">
        <x:v>age_25_34</x:v>
      </x:c>
      <x:c r="L33" s="12" t="str">
        <x:v>yes</x:v>
      </x:c>
      <x:c r="M33" s="12" t="str">
        <x:v>hanoi</x:v>
      </x:c>
      <x:c r="N33" s="12" t="str">
        <x:v>monthly</x:v>
      </x:c>
      <x:c r="O33" s="17" t="n">
        <x:v>1</x:v>
      </x:c>
      <x:c r="P33" s="17" t="n">
        <x:v>0</x:v>
      </x:c>
      <x:c r="Q33" s="17" t="n">
        <x:v>1</x:v>
      </x:c>
      <x:c r="R33" s="17" t="n">
        <x:v>1</x:v>
      </x:c>
      <x:c r="S33" s="17" t="n">
        <x:v>0</x:v>
      </x:c>
      <x:c r="T33" s="12"/>
      <x:c r="U33" s="12" t="str">
        <x:v>v800k_1199k</x:v>
      </x:c>
      <x:c r="V33" s="17" t="n">
        <x:v>1</x:v>
      </x:c>
      <x:c r="W33" s="17" t="n">
        <x:v>1</x:v>
      </x:c>
      <x:c r="X33" s="17" t="n">
        <x:v>1</x:v>
      </x:c>
      <x:c r="Y33" s="17" t="n">
        <x:v>0</x:v>
      </x:c>
      <x:c r="Z33" s="17" t="n">
        <x:v>1</x:v>
      </x:c>
      <x:c r="AA33" s="17" t="n">
        <x:v>0</x:v>
      </x:c>
      <x:c r="AB33" s="17" t="n">
        <x:v>0</x:v>
      </x:c>
      <x:c r="AC33" s="17" t="n">
        <x:v>0</x:v>
      </x:c>
      <x:c r="AD33" s="17" t="n">
        <x:v>0</x:v>
      </x:c>
      <x:c r="AE33" s="12"/>
      <x:c r="AF33" s="12" t="str">
        <x:v>returns_unclear</x:v>
      </x:c>
      <x:c r="AG33" s="12" t="str">
        <x:v>Khó tìm thời hạn đổi size trước khi đặt.</x:v>
      </x:c>
      <x:c r="AH33" s="12" t="str">
        <x:v>no</x:v>
      </x:c>
      <x:c r="AI33" s="17"/>
      <x:c r="AJ33" s="17"/>
      <x:c r="AK33" s="17"/>
      <x:c r="AL33" s="17"/>
      <x:c r="AM33" s="17"/>
      <x:c r="AN33" s="17"/>
      <x:c r="AO33" s="17"/>
      <x:c r="AP33" s="17"/>
      <x:c r="AQ33" s="12"/>
      <x:c r="AR33" s="17" t="n">
        <x:v>0</x:v>
      </x:c>
      <x:c r="AS33" s="17" t="n">
        <x:v>1</x:v>
      </x:c>
      <x:c r="AT33" s="17" t="n">
        <x:v>0</x:v>
      </x:c>
      <x:c r="AU33" s="17" t="n">
        <x:v>0</x:v>
      </x:c>
      <x:c r="AV33" s="17" t="n">
        <x:v>1</x:v>
      </x:c>
      <x:c r="AW33" s="17" t="n">
        <x:v>1</x:v>
      </x:c>
      <x:c r="AX33" s="17" t="n">
        <x:v>0</x:v>
      </x:c>
      <x:c r="AY33" s="17" t="n">
        <x:v>0</x:v>
      </x:c>
      <x:c r="AZ33" s="17" t="n">
        <x:v>0</x:v>
      </x:c>
      <x:c r="BA33" s="12"/>
      <x:c r="BB33" s="12" t="str">
        <x:v>prepaid</x:v>
      </x:c>
      <x:c r="BC33" s="12" t="str">
        <x:v>Đã quen thao tác thanh toán trước.</x:v>
      </x:c>
      <x:c r="BD33" s="12" t="str">
        <x:v>register_now</x:v>
      </x:c>
      <x:c r="BE33" s="17" t="n">
        <x:v>0</x:v>
      </x:c>
      <x:c r="BF33" s="17" t="n">
        <x:v>1</x:v>
      </x:c>
      <x:c r="BG33" s="17" t="n">
        <x:v>1</x:v>
      </x:c>
      <x:c r="BH33" s="17" t="n">
        <x:v>1</x:v>
      </x:c>
      <x:c r="BI33" s="17" t="n">
        <x:v>1</x:v>
      </x:c>
      <x:c r="BJ33" s="17" t="n">
        <x:v>0</x:v>
      </x:c>
      <x:c r="BK33" s="17" t="n">
        <x:v>1</x:v>
      </x:c>
      <x:c r="BL33" s="12" t="str">
        <x:v>fairly_willing</x:v>
      </x:c>
      <x:c r="BM33" s="12" t="str">
        <x:v>Giải thích các bước đổi hàng và phí phát sinh.</x:v>
      </x:c>
    </x:row>
    <x:row r="34" ht="64" customHeight="1">
      <x:c r="A34" s="11" t="str">
        <x:v>SYN-PH-029</x:v>
      </x:c>
      <x:c r="B34" s="11" t="str">
        <x:v>SYN</x:v>
      </x:c>
      <x:c r="C34" s="11" t="str">
        <x:v>N4</x:v>
      </x:c>
      <x:c r="D34" s="14" t="n">
        <x:v>10</x:v>
      </x:c>
      <x:c r="E34" s="16" t="n">
        <x:v>1</x:v>
      </x:c>
      <x:c r="F34" s="16" t="n">
        <x:v>1</x:v>
      </x:c>
      <x:c r="G34" s="11" t="str">
        <x:v>valid</x:v>
      </x:c>
      <x:c r="H34" s="11"/>
      <x:c r="I34" s="11"/>
      <x:c r="J34" s="11" t="str">
        <x:v>yes</x:v>
      </x:c>
      <x:c r="K34" s="11" t="str">
        <x:v>age_25_34</x:v>
      </x:c>
      <x:c r="L34" s="11" t="str">
        <x:v>yes</x:v>
      </x:c>
      <x:c r="M34" s="11" t="str">
        <x:v>hcm</x:v>
      </x:c>
      <x:c r="N34" s="11" t="str">
        <x:v>monthly_2_3</x:v>
      </x:c>
      <x:c r="O34" s="16" t="n">
        <x:v>1</x:v>
      </x:c>
      <x:c r="P34" s="16" t="n">
        <x:v>0</x:v>
      </x:c>
      <x:c r="Q34" s="16" t="n">
        <x:v>0</x:v>
      </x:c>
      <x:c r="R34" s="16" t="n">
        <x:v>0</x:v>
      </x:c>
      <x:c r="S34" s="16" t="n">
        <x:v>0</x:v>
      </x:c>
      <x:c r="T34" s="11"/>
      <x:c r="U34" s="11" t="str">
        <x:v>v500k_799k</x:v>
      </x:c>
      <x:c r="V34" s="16" t="n">
        <x:v>0</x:v>
      </x:c>
      <x:c r="W34" s="16" t="n">
        <x:v>0</x:v>
      </x:c>
      <x:c r="X34" s="16" t="n">
        <x:v>1</x:v>
      </x:c>
      <x:c r="Y34" s="16" t="n">
        <x:v>1</x:v>
      </x:c>
      <x:c r="Z34" s="16" t="n">
        <x:v>1</x:v>
      </x:c>
      <x:c r="AA34" s="16" t="n">
        <x:v>0</x:v>
      </x:c>
      <x:c r="AB34" s="16" t="n">
        <x:v>0</x:v>
      </x:c>
      <x:c r="AC34" s="16" t="n">
        <x:v>0</x:v>
      </x:c>
      <x:c r="AD34" s="16" t="n">
        <x:v>0</x:v>
      </x:c>
      <x:c r="AE34" s="11"/>
      <x:c r="AF34" s="11" t="str">
        <x:v>late_total</x:v>
      </x:c>
      <x:c r="AG34" s="11" t="str">
        <x:v>Phí giao chỉ hiện ở bước xác nhận cuối.</x:v>
      </x:c>
      <x:c r="AH34" s="11" t="str">
        <x:v>yes</x:v>
      </x:c>
      <x:c r="AI34" s="16" t="n">
        <x:v>1</x:v>
      </x:c>
      <x:c r="AJ34" s="16" t="n">
        <x:v>1</x:v>
      </x:c>
      <x:c r="AK34" s="16" t="n">
        <x:v>1</x:v>
      </x:c>
      <x:c r="AL34" s="16" t="n">
        <x:v>0</x:v>
      </x:c>
      <x:c r="AM34" s="16" t="n">
        <x:v>0</x:v>
      </x:c>
      <x:c r="AN34" s="16" t="n">
        <x:v>0</x:v>
      </x:c>
      <x:c r="AO34" s="16" t="n">
        <x:v>1</x:v>
      </x:c>
      <x:c r="AP34" s="16" t="n">
        <x:v>0</x:v>
      </x:c>
      <x:c r="AQ34" s="11"/>
      <x:c r="AR34" s="16" t="n">
        <x:v>0</x:v>
      </x:c>
      <x:c r="AS34" s="16" t="n">
        <x:v>1</x:v>
      </x:c>
      <x:c r="AT34" s="16" t="n">
        <x:v>0</x:v>
      </x:c>
      <x:c r="AU34" s="16" t="n">
        <x:v>0</x:v>
      </x:c>
      <x:c r="AV34" s="16" t="n">
        <x:v>1</x:v>
      </x:c>
      <x:c r="AW34" s="16" t="n">
        <x:v>1</x:v>
      </x:c>
      <x:c r="AX34" s="16" t="n">
        <x:v>0</x:v>
      </x:c>
      <x:c r="AY34" s="16" t="n">
        <x:v>0</x:v>
      </x:c>
      <x:c r="AZ34" s="16" t="n">
        <x:v>0</x:v>
      </x:c>
      <x:c r="BA34" s="11"/>
      <x:c r="BB34" s="11" t="str">
        <x:v>cod</x:v>
      </x:c>
      <x:c r="BC34" s="11" t="str">
        <x:v>Thuận tiện với cách nhận hàng gần đây.</x:v>
      </x:c>
      <x:c r="BD34" s="11" t="str">
        <x:v>guest</x:v>
      </x:c>
      <x:c r="BE34" s="16" t="n">
        <x:v>1</x:v>
      </x:c>
      <x:c r="BF34" s="16" t="n">
        <x:v>0</x:v>
      </x:c>
      <x:c r="BG34" s="16" t="n">
        <x:v>1</x:v>
      </x:c>
      <x:c r="BH34" s="16" t="n">
        <x:v>1</x:v>
      </x:c>
      <x:c r="BI34" s="16" t="n">
        <x:v>1</x:v>
      </x:c>
      <x:c r="BJ34" s="16" t="n">
        <x:v>0</x:v>
      </x:c>
      <x:c r="BK34" s="16" t="n">
        <x:v>0</x:v>
      </x:c>
      <x:c r="BL34" s="11" t="str">
        <x:v>neutral</x:v>
      </x:c>
      <x:c r="BM34" s="11" t="str">
        <x:v>Giải thích vì sao mã giảm giá không áp dụng.</x:v>
      </x:c>
    </x:row>
    <x:row r="35" ht="64" customHeight="1">
      <x:c r="A35" s="12" t="str">
        <x:v>SYN-PH-030</x:v>
      </x:c>
      <x:c r="B35" s="12" t="str">
        <x:v>SYN</x:v>
      </x:c>
      <x:c r="C35" s="12" t="str">
        <x:v>N4</x:v>
      </x:c>
      <x:c r="D35" s="15" t="n">
        <x:v>9.5</x:v>
      </x:c>
      <x:c r="E35" s="17" t="n">
        <x:v>1</x:v>
      </x:c>
      <x:c r="F35" s="17" t="n">
        <x:v>1</x:v>
      </x:c>
      <x:c r="G35" s="12" t="str">
        <x:v>valid</x:v>
      </x:c>
      <x:c r="H35" s="12"/>
      <x:c r="I35" s="12"/>
      <x:c r="J35" s="12" t="str">
        <x:v>yes</x:v>
      </x:c>
      <x:c r="K35" s="12" t="str">
        <x:v>age_25_34</x:v>
      </x:c>
      <x:c r="L35" s="12" t="str">
        <x:v>yes</x:v>
      </x:c>
      <x:c r="M35" s="12" t="str">
        <x:v>hcm</x:v>
      </x:c>
      <x:c r="N35" s="12" t="str">
        <x:v>every_2_3_months</x:v>
      </x:c>
      <x:c r="O35" s="17" t="n">
        <x:v>1</x:v>
      </x:c>
      <x:c r="P35" s="17" t="n">
        <x:v>0</x:v>
      </x:c>
      <x:c r="Q35" s="17" t="n">
        <x:v>0</x:v>
      </x:c>
      <x:c r="R35" s="17" t="n">
        <x:v>0</x:v>
      </x:c>
      <x:c r="S35" s="17" t="n">
        <x:v>0</x:v>
      </x:c>
      <x:c r="T35" s="12"/>
      <x:c r="U35" s="12" t="str">
        <x:v>v300k_499k</x:v>
      </x:c>
      <x:c r="V35" s="17" t="n">
        <x:v>0</x:v>
      </x:c>
      <x:c r="W35" s="17" t="n">
        <x:v>1</x:v>
      </x:c>
      <x:c r="X35" s="17" t="n">
        <x:v>1</x:v>
      </x:c>
      <x:c r="Y35" s="17" t="n">
        <x:v>1</x:v>
      </x:c>
      <x:c r="Z35" s="17" t="n">
        <x:v>0</x:v>
      </x:c>
      <x:c r="AA35" s="17" t="n">
        <x:v>1</x:v>
      </x:c>
      <x:c r="AB35" s="17" t="n">
        <x:v>1</x:v>
      </x:c>
      <x:c r="AC35" s="17" t="n">
        <x:v>0</x:v>
      </x:c>
      <x:c r="AD35" s="17" t="n">
        <x:v>0</x:v>
      </x:c>
      <x:c r="AE35" s="12"/>
      <x:c r="AF35" s="12" t="str">
        <x:v>late_total</x:v>
      </x:c>
      <x:c r="AG35" s="12" t="str">
        <x:v>Phí giao chỉ hiện ở bước xác nhận cuối.</x:v>
      </x:c>
      <x:c r="AH35" s="12" t="str">
        <x:v>no</x:v>
      </x:c>
      <x:c r="AI35" s="17"/>
      <x:c r="AJ35" s="17"/>
      <x:c r="AK35" s="17"/>
      <x:c r="AL35" s="17"/>
      <x:c r="AM35" s="17"/>
      <x:c r="AN35" s="17"/>
      <x:c r="AO35" s="17"/>
      <x:c r="AP35" s="17"/>
      <x:c r="AQ35" s="12"/>
      <x:c r="AR35" s="17" t="n">
        <x:v>1</x:v>
      </x:c>
      <x:c r="AS35" s="17" t="n">
        <x:v>0</x:v>
      </x:c>
      <x:c r="AT35" s="17" t="n">
        <x:v>1</x:v>
      </x:c>
      <x:c r="AU35" s="17" t="n">
        <x:v>0</x:v>
      </x:c>
      <x:c r="AV35" s="17" t="n">
        <x:v>0</x:v>
      </x:c>
      <x:c r="AW35" s="17" t="n">
        <x:v>1</x:v>
      </x:c>
      <x:c r="AX35" s="17" t="n">
        <x:v>0</x:v>
      </x:c>
      <x:c r="AY35" s="17" t="n">
        <x:v>0</x:v>
      </x:c>
      <x:c r="AZ35" s="17" t="n">
        <x:v>0</x:v>
      </x:c>
      <x:c r="BA35" s="12"/>
      <x:c r="BB35" s="12" t="str">
        <x:v>cod</x:v>
      </x:c>
      <x:c r="BC35" s="12" t="str">
        <x:v>Quen thanh toán lúc giao hàng.</x:v>
      </x:c>
      <x:c r="BD35" s="12" t="str">
        <x:v>unsure</x:v>
      </x:c>
      <x:c r="BE35" s="17" t="n">
        <x:v>1</x:v>
      </x:c>
      <x:c r="BF35" s="17" t="n">
        <x:v>1</x:v>
      </x:c>
      <x:c r="BG35" s="17" t="n">
        <x:v>0</x:v>
      </x:c>
      <x:c r="BH35" s="17" t="n">
        <x:v>1</x:v>
      </x:c>
      <x:c r="BI35" s="17" t="n">
        <x:v>1</x:v>
      </x:c>
      <x:c r="BJ35" s="17" t="n">
        <x:v>1</x:v>
      </x:c>
      <x:c r="BK35" s="17" t="n">
        <x:v>0</x:v>
      </x:c>
      <x:c r="BL35" s="12" t="str">
        <x:v>neutral</x:v>
      </x:c>
      <x:c r="BM35" s="12" t="str">
        <x:v>Giải thích vì sao mã giảm giá không áp dụng.</x:v>
      </x:c>
    </x:row>
    <x:row r="36" ht="64" customHeight="1">
      <x:c r="A36" s="11" t="str">
        <x:v>SYN-PH-031</x:v>
      </x:c>
      <x:c r="B36" s="11" t="str">
        <x:v>SYN</x:v>
      </x:c>
      <x:c r="C36" s="11" t="str">
        <x:v>N4</x:v>
      </x:c>
      <x:c r="D36" s="14" t="n">
        <x:v>7</x:v>
      </x:c>
      <x:c r="E36" s="16" t="n">
        <x:v>1</x:v>
      </x:c>
      <x:c r="F36" s="16" t="n">
        <x:v>1</x:v>
      </x:c>
      <x:c r="G36" s="11" t="str">
        <x:v>valid</x:v>
      </x:c>
      <x:c r="H36" s="11"/>
      <x:c r="I36" s="11"/>
      <x:c r="J36" s="11" t="str">
        <x:v>yes</x:v>
      </x:c>
      <x:c r="K36" s="11" t="str">
        <x:v>age_25_34</x:v>
      </x:c>
      <x:c r="L36" s="11" t="str">
        <x:v>yes</x:v>
      </x:c>
      <x:c r="M36" s="11" t="str">
        <x:v>hcm</x:v>
      </x:c>
      <x:c r="N36" s="11" t="str">
        <x:v>every_2_3_months</x:v>
      </x:c>
      <x:c r="O36" s="16" t="n">
        <x:v>1</x:v>
      </x:c>
      <x:c r="P36" s="16" t="n">
        <x:v>0</x:v>
      </x:c>
      <x:c r="Q36" s="16" t="n">
        <x:v>0</x:v>
      </x:c>
      <x:c r="R36" s="16" t="n">
        <x:v>0</x:v>
      </x:c>
      <x:c r="S36" s="16" t="n">
        <x:v>0</x:v>
      </x:c>
      <x:c r="T36" s="11"/>
      <x:c r="U36" s="11" t="str">
        <x:v>v500k_799k</x:v>
      </x:c>
      <x:c r="V36" s="16" t="n">
        <x:v>1</x:v>
      </x:c>
      <x:c r="W36" s="16" t="n">
        <x:v>0</x:v>
      </x:c>
      <x:c r="X36" s="16" t="n">
        <x:v>0</x:v>
      </x:c>
      <x:c r="Y36" s="16" t="n">
        <x:v>0</x:v>
      </x:c>
      <x:c r="Z36" s="16" t="n">
        <x:v>0</x:v>
      </x:c>
      <x:c r="AA36" s="16" t="n">
        <x:v>0</x:v>
      </x:c>
      <x:c r="AB36" s="16" t="n">
        <x:v>0</x:v>
      </x:c>
      <x:c r="AC36" s="16" t="n">
        <x:v>0</x:v>
      </x:c>
      <x:c r="AD36" s="16" t="n">
        <x:v>0</x:v>
      </x:c>
      <x:c r="AE36" s="11"/>
      <x:c r="AF36" s="11" t="str">
        <x:v>size_uncertain</x:v>
      </x:c>
      <x:c r="AG36" s="11" t="str">
        <x:v>Bảng size chỉ có S/M/L nên khó so với số đo áo đang mặc.</x:v>
      </x:c>
      <x:c r="AH36" s="11" t="str">
        <x:v>no</x:v>
      </x:c>
      <x:c r="AI36" s="16"/>
      <x:c r="AJ36" s="16"/>
      <x:c r="AK36" s="16"/>
      <x:c r="AL36" s="16"/>
      <x:c r="AM36" s="16"/>
      <x:c r="AN36" s="16"/>
      <x:c r="AO36" s="16"/>
      <x:c r="AP36" s="16"/>
      <x:c r="AQ36" s="11"/>
      <x:c r="AR36" s="16" t="n">
        <x:v>1</x:v>
      </x:c>
      <x:c r="AS36" s="16" t="n">
        <x:v>1</x:v>
      </x:c>
      <x:c r="AT36" s="16" t="n">
        <x:v>0</x:v>
      </x:c>
      <x:c r="AU36" s="16" t="n">
        <x:v>0</x:v>
      </x:c>
      <x:c r="AV36" s="16" t="n">
        <x:v>0</x:v>
      </x:c>
      <x:c r="AW36" s="16" t="n">
        <x:v>0</x:v>
      </x:c>
      <x:c r="AX36" s="16" t="n">
        <x:v>1</x:v>
      </x:c>
      <x:c r="AY36" s="16" t="n">
        <x:v>0</x:v>
      </x:c>
      <x:c r="AZ36" s="16" t="n">
        <x:v>0</x:v>
      </x:c>
      <x:c r="BA36" s="11"/>
      <x:c r="BB36" s="11" t="str">
        <x:v>prepaid</x:v>
      </x:c>
      <x:c r="BC36" s="11" t="str">
        <x:v>Tiện cho người nhận không cần chuẩn bị tiền.</x:v>
      </x:c>
      <x:c r="BD36" s="11" t="str">
        <x:v>depends_on_benefits</x:v>
      </x:c>
      <x:c r="BE36" s="16" t="n">
        <x:v>1</x:v>
      </x:c>
      <x:c r="BF36" s="16" t="n">
        <x:v>0</x:v>
      </x:c>
      <x:c r="BG36" s="16" t="n">
        <x:v>0</x:v>
      </x:c>
      <x:c r="BH36" s="16" t="n">
        <x:v>1</x:v>
      </x:c>
      <x:c r="BI36" s="16" t="n">
        <x:v>1</x:v>
      </x:c>
      <x:c r="BJ36" s="16" t="n">
        <x:v>0</x:v>
      </x:c>
      <x:c r="BK36" s="16" t="n">
        <x:v>0</x:v>
      </x:c>
      <x:c r="BL36" s="11" t="str">
        <x:v>less_willing</x:v>
      </x:c>
      <x:c r="BM36" s="11" t="str">
        <x:v>Ghi rõ phom áo và số đo người mẫu.</x:v>
      </x:c>
    </x:row>
    <x:row r="37" ht="64" customHeight="1">
      <x:c r="A37" s="12" t="str">
        <x:v>SYN-PH-032</x:v>
      </x:c>
      <x:c r="B37" s="12" t="str">
        <x:v>SYN</x:v>
      </x:c>
      <x:c r="C37" s="12" t="str">
        <x:v>N4</x:v>
      </x:c>
      <x:c r="D37" s="15" t="n">
        <x:v>10.9</x:v>
      </x:c>
      <x:c r="E37" s="17" t="n">
        <x:v>1</x:v>
      </x:c>
      <x:c r="F37" s="17" t="n">
        <x:v>1</x:v>
      </x:c>
      <x:c r="G37" s="12" t="str">
        <x:v>valid</x:v>
      </x:c>
      <x:c r="H37" s="12"/>
      <x:c r="I37" s="12"/>
      <x:c r="J37" s="12" t="str">
        <x:v>yes</x:v>
      </x:c>
      <x:c r="K37" s="12" t="str">
        <x:v>age_25_34</x:v>
      </x:c>
      <x:c r="L37" s="12" t="str">
        <x:v>yes</x:v>
      </x:c>
      <x:c r="M37" s="12" t="str">
        <x:v>hanoi</x:v>
      </x:c>
      <x:c r="N37" s="12" t="str">
        <x:v>monthly</x:v>
      </x:c>
      <x:c r="O37" s="17" t="n">
        <x:v>1</x:v>
      </x:c>
      <x:c r="P37" s="17" t="n">
        <x:v>1</x:v>
      </x:c>
      <x:c r="Q37" s="17" t="n">
        <x:v>0</x:v>
      </x:c>
      <x:c r="R37" s="17" t="n">
        <x:v>1</x:v>
      </x:c>
      <x:c r="S37" s="17" t="n">
        <x:v>0</x:v>
      </x:c>
      <x:c r="T37" s="12"/>
      <x:c r="U37" s="12" t="str">
        <x:v>v800k_1199k</x:v>
      </x:c>
      <x:c r="V37" s="17" t="n">
        <x:v>0</x:v>
      </x:c>
      <x:c r="W37" s="17" t="n">
        <x:v>1</x:v>
      </x:c>
      <x:c r="X37" s="17" t="n">
        <x:v>0</x:v>
      </x:c>
      <x:c r="Y37" s="17" t="n">
        <x:v>1</x:v>
      </x:c>
      <x:c r="Z37" s="17" t="n">
        <x:v>1</x:v>
      </x:c>
      <x:c r="AA37" s="17" t="n">
        <x:v>0</x:v>
      </x:c>
      <x:c r="AB37" s="17" t="n">
        <x:v>0</x:v>
      </x:c>
      <x:c r="AC37" s="17" t="n">
        <x:v>0</x:v>
      </x:c>
      <x:c r="AD37" s="17" t="n">
        <x:v>1</x:v>
      </x:c>
      <x:c r="AE37" s="12" t="str">
        <x:v>Bộ lọc phom dáng chưa giúp thu hẹp lựa chọn.</x:v>
      </x:c>
      <x:c r="AF37" s="12" t="str">
        <x:v>other</x:v>
      </x:c>
      <x:c r="AG37" s="12" t="str">
        <x:v>Khó tìm lại sản phẩm đã xem trên thiết bị khác.</x:v>
      </x:c>
      <x:c r="AH37" s="12" t="str">
        <x:v>no</x:v>
      </x:c>
      <x:c r="AI37" s="17"/>
      <x:c r="AJ37" s="17"/>
      <x:c r="AK37" s="17"/>
      <x:c r="AL37" s="17"/>
      <x:c r="AM37" s="17"/>
      <x:c r="AN37" s="17"/>
      <x:c r="AO37" s="17"/>
      <x:c r="AP37" s="17"/>
      <x:c r="AQ37" s="12"/>
      <x:c r="AR37" s="17" t="n">
        <x:v>0</x:v>
      </x:c>
      <x:c r="AS37" s="17" t="n">
        <x:v>0</x:v>
      </x:c>
      <x:c r="AT37" s="17" t="n">
        <x:v>1</x:v>
      </x:c>
      <x:c r="AU37" s="17" t="n">
        <x:v>0</x:v>
      </x:c>
      <x:c r="AV37" s="17" t="n">
        <x:v>0</x:v>
      </x:c>
      <x:c r="AW37" s="17" t="n">
        <x:v>1</x:v>
      </x:c>
      <x:c r="AX37" s="17" t="n">
        <x:v>1</x:v>
      </x:c>
      <x:c r="AY37" s="17" t="n">
        <x:v>0</x:v>
      </x:c>
      <x:c r="AZ37" s="17" t="n">
        <x:v>0</x:v>
      </x:c>
      <x:c r="BA37" s="12"/>
      <x:c r="BB37" s="12" t="str">
        <x:v>cod</x:v>
      </x:c>
      <x:c r="BC37" s="12" t="str">
        <x:v>Quen thanh toán lúc giao hàng.</x:v>
      </x:c>
      <x:c r="BD37" s="12" t="str">
        <x:v>depends_on_benefits</x:v>
      </x:c>
      <x:c r="BE37" s="17" t="n">
        <x:v>0</x:v>
      </x:c>
      <x:c r="BF37" s="17" t="n">
        <x:v>1</x:v>
      </x:c>
      <x:c r="BG37" s="17" t="n">
        <x:v>1</x:v>
      </x:c>
      <x:c r="BH37" s="17" t="n">
        <x:v>1</x:v>
      </x:c>
      <x:c r="BI37" s="17" t="n">
        <x:v>1</x:v>
      </x:c>
      <x:c r="BJ37" s="17" t="n">
        <x:v>0</x:v>
      </x:c>
      <x:c r="BK37" s="17" t="n">
        <x:v>1</x:v>
      </x:c>
      <x:c r="BL37" s="12" t="str">
        <x:v>fairly_willing</x:v>
      </x:c>
      <x:c r="BM37" s="12" t="str">
        <x:v>Thêm bộ lọc phom dáng dễ sử dụng.</x:v>
      </x:c>
    </x:row>
    <x:row r="38" ht="64" customHeight="1">
      <x:c r="A38" s="11" t="str">
        <x:v>SYN-PH-033</x:v>
      </x:c>
      <x:c r="B38" s="11" t="str">
        <x:v>SYN</x:v>
      </x:c>
      <x:c r="C38" s="11" t="str">
        <x:v>N4</x:v>
      </x:c>
      <x:c r="D38" s="14" t="n">
        <x:v>0.7</x:v>
      </x:c>
      <x:c r="E38" s="16" t="n">
        <x:v>0</x:v>
      </x:c>
      <x:c r="F38" s="16" t="n">
        <x:v>0</x:v>
      </x:c>
      <x:c r="G38" s="11" t="str">
        <x:v>excluded</x:v>
      </x:c>
      <x:c r="H38" s="11" t="str">
        <x:v>out_of_age</x:v>
      </x:c>
      <x:c r="I38" s="11"/>
      <x:c r="J38" s="11" t="str">
        <x:v>yes</x:v>
      </x:c>
      <x:c r="K38" s="11" t="str">
        <x:v>under_18</x:v>
      </x:c>
      <x:c r="L38" s="11"/>
      <x:c r="M38" s="11"/>
      <x:c r="N38" s="11"/>
      <x:c r="O38" s="16"/>
      <x:c r="P38" s="16"/>
      <x:c r="Q38" s="16"/>
      <x:c r="R38" s="16"/>
      <x:c r="S38" s="16"/>
      <x:c r="T38" s="11"/>
      <x:c r="U38" s="11"/>
      <x:c r="V38" s="16"/>
      <x:c r="W38" s="16"/>
      <x:c r="X38" s="16"/>
      <x:c r="Y38" s="16"/>
      <x:c r="Z38" s="16"/>
      <x:c r="AA38" s="16"/>
      <x:c r="AB38" s="16"/>
      <x:c r="AC38" s="16"/>
      <x:c r="AD38" s="16"/>
      <x:c r="AE38" s="11"/>
      <x:c r="AF38" s="11"/>
      <x:c r="AG38" s="11"/>
      <x:c r="AH38" s="11"/>
      <x:c r="AI38" s="16"/>
      <x:c r="AJ38" s="16"/>
      <x:c r="AK38" s="16"/>
      <x:c r="AL38" s="16"/>
      <x:c r="AM38" s="16"/>
      <x:c r="AN38" s="16"/>
      <x:c r="AO38" s="16"/>
      <x:c r="AP38" s="16"/>
      <x:c r="AQ38" s="11"/>
      <x:c r="AR38" s="16"/>
      <x:c r="AS38" s="16"/>
      <x:c r="AT38" s="16"/>
      <x:c r="AU38" s="16"/>
      <x:c r="AV38" s="16"/>
      <x:c r="AW38" s="16"/>
      <x:c r="AX38" s="16"/>
      <x:c r="AY38" s="16"/>
      <x:c r="AZ38" s="16"/>
      <x:c r="BA38" s="11"/>
      <x:c r="BB38" s="11"/>
      <x:c r="BC38" s="11"/>
      <x:c r="BD38" s="11"/>
      <x:c r="BE38" s="16"/>
      <x:c r="BF38" s="16"/>
      <x:c r="BG38" s="16"/>
      <x:c r="BH38" s="16"/>
      <x:c r="BI38" s="16"/>
      <x:c r="BJ38" s="16"/>
      <x:c r="BK38" s="16"/>
      <x:c r="BL38" s="11"/>
      <x:c r="BM38" s="11"/>
    </x:row>
    <x:row r="39" ht="64" customHeight="1">
      <x:c r="A39" s="12" t="str">
        <x:v>SYN-PH-034</x:v>
      </x:c>
      <x:c r="B39" s="12" t="str">
        <x:v>SYN</x:v>
      </x:c>
      <x:c r="C39" s="12" t="str">
        <x:v>N4</x:v>
      </x:c>
      <x:c r="D39" s="15" t="n">
        <x:v>7.2</x:v>
      </x:c>
      <x:c r="E39" s="17" t="n">
        <x:v>1</x:v>
      </x:c>
      <x:c r="F39" s="17" t="n">
        <x:v>1</x:v>
      </x:c>
      <x:c r="G39" s="12" t="str">
        <x:v>valid</x:v>
      </x:c>
      <x:c r="H39" s="12"/>
      <x:c r="I39" s="12"/>
      <x:c r="J39" s="12" t="str">
        <x:v>yes</x:v>
      </x:c>
      <x:c r="K39" s="12" t="str">
        <x:v>age_25_34</x:v>
      </x:c>
      <x:c r="L39" s="12" t="str">
        <x:v>yes</x:v>
      </x:c>
      <x:c r="M39" s="12" t="str">
        <x:v>hanoi</x:v>
      </x:c>
      <x:c r="N39" s="12" t="str">
        <x:v>monthly_2_3</x:v>
      </x:c>
      <x:c r="O39" s="17" t="n">
        <x:v>1</x:v>
      </x:c>
      <x:c r="P39" s="17" t="n">
        <x:v>1</x:v>
      </x:c>
      <x:c r="Q39" s="17" t="n">
        <x:v>1</x:v>
      </x:c>
      <x:c r="R39" s="17" t="n">
        <x:v>1</x:v>
      </x:c>
      <x:c r="S39" s="17" t="n">
        <x:v>0</x:v>
      </x:c>
      <x:c r="T39" s="12"/>
      <x:c r="U39" s="12" t="str">
        <x:v>v500k_799k</x:v>
      </x:c>
      <x:c r="V39" s="17" t="n">
        <x:v>0</x:v>
      </x:c>
      <x:c r="W39" s="17" t="n">
        <x:v>0</x:v>
      </x:c>
      <x:c r="X39" s="17" t="n">
        <x:v>1</x:v>
      </x:c>
      <x:c r="Y39" s="17" t="n">
        <x:v>0</x:v>
      </x:c>
      <x:c r="Z39" s="17" t="n">
        <x:v>0</x:v>
      </x:c>
      <x:c r="AA39" s="17" t="n">
        <x:v>1</x:v>
      </x:c>
      <x:c r="AB39" s="17" t="n">
        <x:v>0</x:v>
      </x:c>
      <x:c r="AC39" s="17" t="n">
        <x:v>0</x:v>
      </x:c>
      <x:c r="AD39" s="17" t="n">
        <x:v>0</x:v>
      </x:c>
      <x:c r="AE39" s="12"/>
      <x:c r="AF39" s="12" t="str">
        <x:v>returns_unclear</x:v>
      </x:c>
      <x:c r="AG39" s="12" t="str">
        <x:v>Không rõ bên nào chịu phí gửi lại hàng.</x:v>
      </x:c>
      <x:c r="AH39" s="12" t="str">
        <x:v>no</x:v>
      </x:c>
      <x:c r="AI39" s="17"/>
      <x:c r="AJ39" s="17"/>
      <x:c r="AK39" s="17"/>
      <x:c r="AL39" s="17"/>
      <x:c r="AM39" s="17"/>
      <x:c r="AN39" s="17"/>
      <x:c r="AO39" s="17"/>
      <x:c r="AP39" s="17"/>
      <x:c r="AQ39" s="12"/>
      <x:c r="AR39" s="17" t="n">
        <x:v>1</x:v>
      </x:c>
      <x:c r="AS39" s="17" t="n">
        <x:v>1</x:v>
      </x:c>
      <x:c r="AT39" s="17" t="n">
        <x:v>0</x:v>
      </x:c>
      <x:c r="AU39" s="17" t="n">
        <x:v>0</x:v>
      </x:c>
      <x:c r="AV39" s="17" t="n">
        <x:v>0</x:v>
      </x:c>
      <x:c r="AW39" s="17" t="n">
        <x:v>0</x:v>
      </x:c>
      <x:c r="AX39" s="17" t="n">
        <x:v>0</x:v>
      </x:c>
      <x:c r="AY39" s="17" t="n">
        <x:v>1</x:v>
      </x:c>
      <x:c r="AZ39" s="17" t="n">
        <x:v>0</x:v>
      </x:c>
      <x:c r="BA39" s="12"/>
      <x:c r="BB39" s="12" t="str">
        <x:v>cod</x:v>
      </x:c>
      <x:c r="BC39" s="12" t="str">
        <x:v>Thuận tiện với cách nhận hàng gần đây.</x:v>
      </x:c>
      <x:c r="BD39" s="12" t="str">
        <x:v>guest</x:v>
      </x:c>
      <x:c r="BE39" s="17" t="n">
        <x:v>0</x:v>
      </x:c>
      <x:c r="BF39" s="17" t="n">
        <x:v>0</x:v>
      </x:c>
      <x:c r="BG39" s="17" t="n">
        <x:v>1</x:v>
      </x:c>
      <x:c r="BH39" s="17" t="n">
        <x:v>1</x:v>
      </x:c>
      <x:c r="BI39" s="17" t="n">
        <x:v>1</x:v>
      </x:c>
      <x:c r="BJ39" s="17" t="n">
        <x:v>1</x:v>
      </x:c>
      <x:c r="BK39" s="17" t="n">
        <x:v>0</x:v>
      </x:c>
      <x:c r="BL39" s="12" t="str">
        <x:v>neutral</x:v>
      </x:c>
      <x:c r="BM39" s="12" t="str">
        <x:v>Giải thích các bước đổi hàng và phí phát sinh.</x:v>
      </x:c>
    </x:row>
    <x:row r="40" ht="64" customHeight="1">
      <x:c r="A40" s="11" t="str">
        <x:v>SYN-PH-035</x:v>
      </x:c>
      <x:c r="B40" s="11" t="str">
        <x:v>SYN</x:v>
      </x:c>
      <x:c r="C40" s="11" t="str">
        <x:v>N4</x:v>
      </x:c>
      <x:c r="D40" s="14" t="n">
        <x:v>9.4</x:v>
      </x:c>
      <x:c r="E40" s="16" t="n">
        <x:v>1</x:v>
      </x:c>
      <x:c r="F40" s="16" t="n">
        <x:v>1</x:v>
      </x:c>
      <x:c r="G40" s="11" t="str">
        <x:v>valid</x:v>
      </x:c>
      <x:c r="H40" s="11"/>
      <x:c r="I40" s="11"/>
      <x:c r="J40" s="11" t="str">
        <x:v>yes</x:v>
      </x:c>
      <x:c r="K40" s="11" t="str">
        <x:v>age_25_34</x:v>
      </x:c>
      <x:c r="L40" s="11" t="str">
        <x:v>yes</x:v>
      </x:c>
      <x:c r="M40" s="11" t="str">
        <x:v>hcm</x:v>
      </x:c>
      <x:c r="N40" s="11" t="str">
        <x:v>less_often</x:v>
      </x:c>
      <x:c r="O40" s="16" t="n">
        <x:v>1</x:v>
      </x:c>
      <x:c r="P40" s="16" t="n">
        <x:v>1</x:v>
      </x:c>
      <x:c r="Q40" s="16" t="n">
        <x:v>0</x:v>
      </x:c>
      <x:c r="R40" s="16" t="n">
        <x:v>0</x:v>
      </x:c>
      <x:c r="S40" s="16" t="n">
        <x:v>0</x:v>
      </x:c>
      <x:c r="T40" s="11"/>
      <x:c r="U40" s="11" t="str">
        <x:v>under_300k</x:v>
      </x:c>
      <x:c r="V40" s="16" t="n">
        <x:v>0</x:v>
      </x:c>
      <x:c r="W40" s="16" t="n">
        <x:v>0</x:v>
      </x:c>
      <x:c r="X40" s="16" t="n">
        <x:v>0</x:v>
      </x:c>
      <x:c r="Y40" s="16" t="n">
        <x:v>0</x:v>
      </x:c>
      <x:c r="Z40" s="16" t="n">
        <x:v>0</x:v>
      </x:c>
      <x:c r="AA40" s="16" t="n">
        <x:v>0</x:v>
      </x:c>
      <x:c r="AB40" s="16" t="n">
        <x:v>0</x:v>
      </x:c>
      <x:c r="AC40" s="16" t="n">
        <x:v>1</x:v>
      </x:c>
      <x:c r="AD40" s="16" t="n">
        <x:v>0</x:v>
      </x:c>
      <x:c r="AE40" s="11"/>
      <x:c r="AF40" s="11"/>
      <x:c r="AG40" s="11"/>
      <x:c r="AH40" s="11" t="str">
        <x:v>no</x:v>
      </x:c>
      <x:c r="AI40" s="16"/>
      <x:c r="AJ40" s="16"/>
      <x:c r="AK40" s="16"/>
      <x:c r="AL40" s="16"/>
      <x:c r="AM40" s="16"/>
      <x:c r="AN40" s="16"/>
      <x:c r="AO40" s="16"/>
      <x:c r="AP40" s="16"/>
      <x:c r="AQ40" s="11"/>
      <x:c r="AR40" s="16" t="n">
        <x:v>1</x:v>
      </x:c>
      <x:c r="AS40" s="16" t="n">
        <x:v>0</x:v>
      </x:c>
      <x:c r="AT40" s="16" t="n">
        <x:v>1</x:v>
      </x:c>
      <x:c r="AU40" s="16" t="n">
        <x:v>0</x:v>
      </x:c>
      <x:c r="AV40" s="16" t="n">
        <x:v>0</x:v>
      </x:c>
      <x:c r="AW40" s="16" t="n">
        <x:v>0</x:v>
      </x:c>
      <x:c r="AX40" s="16" t="n">
        <x:v>1</x:v>
      </x:c>
      <x:c r="AY40" s="16" t="n">
        <x:v>0</x:v>
      </x:c>
      <x:c r="AZ40" s="16" t="n">
        <x:v>0</x:v>
      </x:c>
      <x:c r="BA40" s="11"/>
      <x:c r="BB40" s="11" t="str">
        <x:v>prepaid</x:v>
      </x:c>
      <x:c r="BC40" s="11" t="str">
        <x:v>Đã quen thao tác thanh toán trước.</x:v>
      </x:c>
      <x:c r="BD40" s="11" t="str">
        <x:v>register_now</x:v>
      </x:c>
      <x:c r="BE40" s="16" t="n">
        <x:v>1</x:v>
      </x:c>
      <x:c r="BF40" s="16" t="n">
        <x:v>0</x:v>
      </x:c>
      <x:c r="BG40" s="16" t="n">
        <x:v>0</x:v>
      </x:c>
      <x:c r="BH40" s="16" t="n">
        <x:v>1</x:v>
      </x:c>
      <x:c r="BI40" s="16" t="n">
        <x:v>0</x:v>
      </x:c>
      <x:c r="BJ40" s="16" t="n">
        <x:v>0</x:v>
      </x:c>
      <x:c r="BK40" s="16" t="n">
        <x:v>1</x:v>
      </x:c>
      <x:c r="BL40" s="11" t="str">
        <x:v>neutral</x:v>
      </x:c>
      <x:c r="BM40" s="11" t="str">
        <x:v>Giữ giao diện gọn và thao tác mua nhanh.</x:v>
      </x:c>
    </x:row>
    <x:row r="41" ht="64" customHeight="1">
      <x:c r="A41" s="12" t="str">
        <x:v>SYN-PH-036</x:v>
      </x:c>
      <x:c r="B41" s="12" t="str">
        <x:v>SYN</x:v>
      </x:c>
      <x:c r="C41" s="12" t="str">
        <x:v>N4</x:v>
      </x:c>
      <x:c r="D41" s="15" t="n">
        <x:v>10.3</x:v>
      </x:c>
      <x:c r="E41" s="17" t="n">
        <x:v>1</x:v>
      </x:c>
      <x:c r="F41" s="17" t="n">
        <x:v>1</x:v>
      </x:c>
      <x:c r="G41" s="12" t="str">
        <x:v>valid</x:v>
      </x:c>
      <x:c r="H41" s="12"/>
      <x:c r="I41" s="12"/>
      <x:c r="J41" s="12" t="str">
        <x:v>yes</x:v>
      </x:c>
      <x:c r="K41" s="12" t="str">
        <x:v>age_18_24</x:v>
      </x:c>
      <x:c r="L41" s="12" t="str">
        <x:v>yes</x:v>
      </x:c>
      <x:c r="M41" s="12" t="str">
        <x:v>hcm</x:v>
      </x:c>
      <x:c r="N41" s="12" t="str">
        <x:v>monthly_2_3</x:v>
      </x:c>
      <x:c r="O41" s="17" t="n">
        <x:v>1</x:v>
      </x:c>
      <x:c r="P41" s="17" t="n">
        <x:v>1</x:v>
      </x:c>
      <x:c r="Q41" s="17" t="n">
        <x:v>1</x:v>
      </x:c>
      <x:c r="R41" s="17" t="n">
        <x:v>0</x:v>
      </x:c>
      <x:c r="S41" s="17" t="n">
        <x:v>0</x:v>
      </x:c>
      <x:c r="T41" s="12"/>
      <x:c r="U41" s="12" t="str">
        <x:v>v800k_1199k</x:v>
      </x:c>
      <x:c r="V41" s="17" t="n">
        <x:v>0</x:v>
      </x:c>
      <x:c r="W41" s="17" t="n">
        <x:v>1</x:v>
      </x:c>
      <x:c r="X41" s="17" t="n">
        <x:v>0</x:v>
      </x:c>
      <x:c r="Y41" s="17" t="n">
        <x:v>1</x:v>
      </x:c>
      <x:c r="Z41" s="17" t="n">
        <x:v>0</x:v>
      </x:c>
      <x:c r="AA41" s="17" t="n">
        <x:v>0</x:v>
      </x:c>
      <x:c r="AB41" s="17" t="n">
        <x:v>1</x:v>
      </x:c>
      <x:c r="AC41" s="17" t="n">
        <x:v>0</x:v>
      </x:c>
      <x:c r="AD41" s="17" t="n">
        <x:v>0</x:v>
      </x:c>
      <x:c r="AE41" s="12"/>
      <x:c r="AF41" s="12" t="str">
        <x:v>payment_concern</x:v>
      </x:c>
      <x:c r="AG41" s="12" t="str">
        <x:v>Muốn biết cách xử lý khi đã trả tiền nhưng chưa thấy đơn.</x:v>
      </x:c>
      <x:c r="AH41" s="12" t="str">
        <x:v>no</x:v>
      </x:c>
      <x:c r="AI41" s="17"/>
      <x:c r="AJ41" s="17"/>
      <x:c r="AK41" s="17"/>
      <x:c r="AL41" s="17"/>
      <x:c r="AM41" s="17"/>
      <x:c r="AN41" s="17"/>
      <x:c r="AO41" s="17"/>
      <x:c r="AP41" s="17"/>
      <x:c r="AQ41" s="12"/>
      <x:c r="AR41" s="17" t="n">
        <x:v>1</x:v>
      </x:c>
      <x:c r="AS41" s="17" t="n">
        <x:v>1</x:v>
      </x:c>
      <x:c r="AT41" s="17" t="n">
        <x:v>0</x:v>
      </x:c>
      <x:c r="AU41" s="17" t="n">
        <x:v>0</x:v>
      </x:c>
      <x:c r="AV41" s="17" t="n">
        <x:v>1</x:v>
      </x:c>
      <x:c r="AW41" s="17" t="n">
        <x:v>0</x:v>
      </x:c>
      <x:c r="AX41" s="17" t="n">
        <x:v>0</x:v>
      </x:c>
      <x:c r="AY41" s="17" t="n">
        <x:v>0</x:v>
      </x:c>
      <x:c r="AZ41" s="17" t="n">
        <x:v>0</x:v>
      </x:c>
      <x:c r="BA41" s="12"/>
      <x:c r="BB41" s="12" t="str">
        <x:v>prepaid</x:v>
      </x:c>
      <x:c r="BC41" s="12" t="str">
        <x:v>Đã quen thao tác thanh toán trước.</x:v>
      </x:c>
      <x:c r="BD41" s="12" t="str">
        <x:v>register_now</x:v>
      </x:c>
      <x:c r="BE41" s="17" t="n">
        <x:v>1</x:v>
      </x:c>
      <x:c r="BF41" s="17" t="n">
        <x:v>0</x:v>
      </x:c>
      <x:c r="BG41" s="17" t="n">
        <x:v>1</x:v>
      </x:c>
      <x:c r="BH41" s="17" t="n">
        <x:v>1</x:v>
      </x:c>
      <x:c r="BI41" s="17" t="n">
        <x:v>1</x:v>
      </x:c>
      <x:c r="BJ41" s="17" t="n">
        <x:v>1</x:v>
      </x:c>
      <x:c r="BK41" s="17" t="n">
        <x:v>1</x:v>
      </x:c>
      <x:c r="BL41" s="12" t="str">
        <x:v>neutral</x:v>
      </x:c>
      <x:c r="BM41" s="12" t="str">
        <x:v>Cho tra cứu trạng thái đơn sau khi thanh toán bị gián đoạn.</x:v>
      </x:c>
    </x:row>
    <x:row r="42" ht="64" customHeight="1">
      <x:c r="A42" s="11" t="str">
        <x:v>SYN-PH-037</x:v>
      </x:c>
      <x:c r="B42" s="11" t="str">
        <x:v>SYN</x:v>
      </x:c>
      <x:c r="C42" s="11" t="str">
        <x:v>N4</x:v>
      </x:c>
      <x:c r="D42" s="14" t="n">
        <x:v>11.5</x:v>
      </x:c>
      <x:c r="E42" s="16" t="n">
        <x:v>1</x:v>
      </x:c>
      <x:c r="F42" s="16" t="n">
        <x:v>1</x:v>
      </x:c>
      <x:c r="G42" s="11" t="str">
        <x:v>valid</x:v>
      </x:c>
      <x:c r="H42" s="11"/>
      <x:c r="I42" s="11"/>
      <x:c r="J42" s="11" t="str">
        <x:v>yes</x:v>
      </x:c>
      <x:c r="K42" s="11" t="str">
        <x:v>age_18_24</x:v>
      </x:c>
      <x:c r="L42" s="11" t="str">
        <x:v>yes</x:v>
      </x:c>
      <x:c r="M42" s="11" t="str">
        <x:v>hcm</x:v>
      </x:c>
      <x:c r="N42" s="11" t="str">
        <x:v>monthly_2_3</x:v>
      </x:c>
      <x:c r="O42" s="16" t="n">
        <x:v>1</x:v>
      </x:c>
      <x:c r="P42" s="16" t="n">
        <x:v>1</x:v>
      </x:c>
      <x:c r="Q42" s="16" t="n">
        <x:v>1</x:v>
      </x:c>
      <x:c r="R42" s="16" t="n">
        <x:v>0</x:v>
      </x:c>
      <x:c r="S42" s="16" t="n">
        <x:v>0</x:v>
      </x:c>
      <x:c r="T42" s="11"/>
      <x:c r="U42" s="11" t="str">
        <x:v>at_least_1200k</x:v>
      </x:c>
      <x:c r="V42" s="16" t="n">
        <x:v>1</x:v>
      </x:c>
      <x:c r="W42" s="16" t="n">
        <x:v>1</x:v>
      </x:c>
      <x:c r="X42" s="16" t="n">
        <x:v>1</x:v>
      </x:c>
      <x:c r="Y42" s="16" t="n">
        <x:v>1</x:v>
      </x:c>
      <x:c r="Z42" s="16" t="n">
        <x:v>1</x:v>
      </x:c>
      <x:c r="AA42" s="16" t="n">
        <x:v>1</x:v>
      </x:c>
      <x:c r="AB42" s="16" t="n">
        <x:v>0</x:v>
      </x:c>
      <x:c r="AC42" s="16" t="n">
        <x:v>0</x:v>
      </x:c>
      <x:c r="AD42" s="16" t="n">
        <x:v>0</x:v>
      </x:c>
      <x:c r="AE42" s="11"/>
      <x:c r="AF42" s="11" t="str">
        <x:v>size_uncertain</x:v>
      </x:c>
      <x:c r="AG42" s="11" t="str">
        <x:v>Hai mẫu cùng ghi size M nhưng phom mô tả khác nhau.</x:v>
      </x:c>
      <x:c r="AH42" s="11" t="str">
        <x:v>no</x:v>
      </x:c>
      <x:c r="AI42" s="16"/>
      <x:c r="AJ42" s="16"/>
      <x:c r="AK42" s="16"/>
      <x:c r="AL42" s="16"/>
      <x:c r="AM42" s="16"/>
      <x:c r="AN42" s="16"/>
      <x:c r="AO42" s="16"/>
      <x:c r="AP42" s="16"/>
      <x:c r="AQ42" s="11"/>
      <x:c r="AR42" s="16" t="n">
        <x:v>1</x:v>
      </x:c>
      <x:c r="AS42" s="16" t="n">
        <x:v>0</x:v>
      </x:c>
      <x:c r="AT42" s="16" t="n">
        <x:v>1</x:v>
      </x:c>
      <x:c r="AU42" s="16" t="n">
        <x:v>0</x:v>
      </x:c>
      <x:c r="AV42" s="16" t="n">
        <x:v>0</x:v>
      </x:c>
      <x:c r="AW42" s="16" t="n">
        <x:v>0</x:v>
      </x:c>
      <x:c r="AX42" s="16" t="n">
        <x:v>0</x:v>
      </x:c>
      <x:c r="AY42" s="16" t="n">
        <x:v>1</x:v>
      </x:c>
      <x:c r="AZ42" s="16" t="n">
        <x:v>0</x:v>
      </x:c>
      <x:c r="BA42" s="11"/>
      <x:c r="BB42" s="11" t="str">
        <x:v>prepaid</x:v>
      </x:c>
      <x:c r="BC42" s="11" t="str">
        <x:v>Đã quen thao tác thanh toán trước.</x:v>
      </x:c>
      <x:c r="BD42" s="11" t="str">
        <x:v>depends_on_benefits</x:v>
      </x:c>
      <x:c r="BE42" s="16" t="n">
        <x:v>1</x:v>
      </x:c>
      <x:c r="BF42" s="16" t="n">
        <x:v>1</x:v>
      </x:c>
      <x:c r="BG42" s="16" t="n">
        <x:v>1</x:v>
      </x:c>
      <x:c r="BH42" s="16" t="n">
        <x:v>1</x:v>
      </x:c>
      <x:c r="BI42" s="16" t="n">
        <x:v>1</x:v>
      </x:c>
      <x:c r="BJ42" s="16" t="n">
        <x:v>0</x:v>
      </x:c>
      <x:c r="BK42" s="16" t="n">
        <x:v>1</x:v>
      </x:c>
      <x:c r="BL42" s="11" t="str">
        <x:v>fairly_willing</x:v>
      </x:c>
      <x:c r="BM42" s="11" t="str">
        <x:v>So sánh size giữa các mẫu quần áo.</x:v>
      </x:c>
    </x:row>
    <x:row r="43" ht="64" customHeight="1">
      <x:c r="A43" s="12" t="str">
        <x:v>SYN-PH-038</x:v>
      </x:c>
      <x:c r="B43" s="12" t="str">
        <x:v>SYN</x:v>
      </x:c>
      <x:c r="C43" s="12" t="str">
        <x:v>N4</x:v>
      </x:c>
      <x:c r="D43" s="15" t="n">
        <x:v>9.6</x:v>
      </x:c>
      <x:c r="E43" s="17" t="n">
        <x:v>1</x:v>
      </x:c>
      <x:c r="F43" s="17" t="n">
        <x:v>1</x:v>
      </x:c>
      <x:c r="G43" s="12" t="str">
        <x:v>valid</x:v>
      </x:c>
      <x:c r="H43" s="12"/>
      <x:c r="I43" s="12"/>
      <x:c r="J43" s="12" t="str">
        <x:v>yes</x:v>
      </x:c>
      <x:c r="K43" s="12" t="str">
        <x:v>age_18_24</x:v>
      </x:c>
      <x:c r="L43" s="12" t="str">
        <x:v>yes</x:v>
      </x:c>
      <x:c r="M43" s="12" t="str">
        <x:v>hanoi</x:v>
      </x:c>
      <x:c r="N43" s="12" t="str">
        <x:v>weekly</x:v>
      </x:c>
      <x:c r="O43" s="17" t="n">
        <x:v>1</x:v>
      </x:c>
      <x:c r="P43" s="17" t="n">
        <x:v>1</x:v>
      </x:c>
      <x:c r="Q43" s="17" t="n">
        <x:v>0</x:v>
      </x:c>
      <x:c r="R43" s="17" t="n">
        <x:v>1</x:v>
      </x:c>
      <x:c r="S43" s="17" t="n">
        <x:v>0</x:v>
      </x:c>
      <x:c r="T43" s="12"/>
      <x:c r="U43" s="12" t="str">
        <x:v>v800k_1199k</x:v>
      </x:c>
      <x:c r="V43" s="17" t="n">
        <x:v>1</x:v>
      </x:c>
      <x:c r="W43" s="17" t="n">
        <x:v>1</x:v>
      </x:c>
      <x:c r="X43" s="17" t="n">
        <x:v>0</x:v>
      </x:c>
      <x:c r="Y43" s="17" t="n">
        <x:v>0</x:v>
      </x:c>
      <x:c r="Z43" s="17" t="n">
        <x:v>0</x:v>
      </x:c>
      <x:c r="AA43" s="17" t="n">
        <x:v>1</x:v>
      </x:c>
      <x:c r="AB43" s="17" t="n">
        <x:v>0</x:v>
      </x:c>
      <x:c r="AC43" s="17" t="n">
        <x:v>0</x:v>
      </x:c>
      <x:c r="AD43" s="17" t="n">
        <x:v>0</x:v>
      </x:c>
      <x:c r="AE43" s="12"/>
      <x:c r="AF43" s="12" t="str">
        <x:v>tracking_unclear</x:v>
      </x:c>
      <x:c r="AG43" s="12" t="str">
        <x:v>Một đơn có nhiều kiện nhưng chỉ thấy trạng thái chung.</x:v>
      </x:c>
      <x:c r="AH43" s="12" t="str">
        <x:v>no</x:v>
      </x:c>
      <x:c r="AI43" s="17"/>
      <x:c r="AJ43" s="17"/>
      <x:c r="AK43" s="17"/>
      <x:c r="AL43" s="17"/>
      <x:c r="AM43" s="17"/>
      <x:c r="AN43" s="17"/>
      <x:c r="AO43" s="17"/>
      <x:c r="AP43" s="17"/>
      <x:c r="AQ43" s="12"/>
      <x:c r="AR43" s="17" t="n">
        <x:v>1</x:v>
      </x:c>
      <x:c r="AS43" s="17" t="n">
        <x:v>0</x:v>
      </x:c>
      <x:c r="AT43" s="17" t="n">
        <x:v>0</x:v>
      </x:c>
      <x:c r="AU43" s="17" t="n">
        <x:v>1</x:v>
      </x:c>
      <x:c r="AV43" s="17" t="n">
        <x:v>1</x:v>
      </x:c>
      <x:c r="AW43" s="17" t="n">
        <x:v>0</x:v>
      </x:c>
      <x:c r="AX43" s="17" t="n">
        <x:v>0</x:v>
      </x:c>
      <x:c r="AY43" s="17" t="n">
        <x:v>0</x:v>
      </x:c>
      <x:c r="AZ43" s="17" t="n">
        <x:v>0</x:v>
      </x:c>
      <x:c r="BA43" s="12"/>
      <x:c r="BB43" s="12" t="str">
        <x:v>cod</x:v>
      </x:c>
      <x:c r="BC43" s="12" t="str">
        <x:v>Muốn nhận hàng rồi mới thanh toán.</x:v>
      </x:c>
      <x:c r="BD43" s="12" t="str">
        <x:v>depends_on_benefits</x:v>
      </x:c>
      <x:c r="BE43" s="17" t="n">
        <x:v>1</x:v>
      </x:c>
      <x:c r="BF43" s="17" t="n">
        <x:v>1</x:v>
      </x:c>
      <x:c r="BG43" s="17" t="n">
        <x:v>1</x:v>
      </x:c>
      <x:c r="BH43" s="17" t="n">
        <x:v>1</x:v>
      </x:c>
      <x:c r="BI43" s="17" t="n">
        <x:v>1</x:v>
      </x:c>
      <x:c r="BJ43" s="17" t="n">
        <x:v>1</x:v>
      </x:c>
      <x:c r="BK43" s="17" t="n">
        <x:v>0</x:v>
      </x:c>
      <x:c r="BL43" s="12" t="str">
        <x:v>very_willing</x:v>
      </x:c>
      <x:c r="BM43" s="12" t="str">
        <x:v>Nêu rõ bước xử lý khi giao không thành công.</x:v>
      </x:c>
    </x:row>
    <x:row r="44" ht="64" customHeight="1">
      <x:c r="A44" s="11" t="str">
        <x:v>SYN-PH-039</x:v>
      </x:c>
      <x:c r="B44" s="11" t="str">
        <x:v>SYN</x:v>
      </x:c>
      <x:c r="C44" s="11" t="str">
        <x:v>N4</x:v>
      </x:c>
      <x:c r="D44" s="14" t="n">
        <x:v>8.5</x:v>
      </x:c>
      <x:c r="E44" s="16" t="n">
        <x:v>1</x:v>
      </x:c>
      <x:c r="F44" s="16" t="n">
        <x:v>1</x:v>
      </x:c>
      <x:c r="G44" s="11" t="str">
        <x:v>valid</x:v>
      </x:c>
      <x:c r="H44" s="11"/>
      <x:c r="I44" s="11"/>
      <x:c r="J44" s="11" t="str">
        <x:v>yes</x:v>
      </x:c>
      <x:c r="K44" s="11" t="str">
        <x:v>age_18_24</x:v>
      </x:c>
      <x:c r="L44" s="11" t="str">
        <x:v>yes</x:v>
      </x:c>
      <x:c r="M44" s="11" t="str">
        <x:v>nonurban</x:v>
      </x:c>
      <x:c r="N44" s="11" t="str">
        <x:v>monthly_2_3</x:v>
      </x:c>
      <x:c r="O44" s="16" t="n">
        <x:v>1</x:v>
      </x:c>
      <x:c r="P44" s="16" t="n">
        <x:v>1</x:v>
      </x:c>
      <x:c r="Q44" s="16" t="n">
        <x:v>1</x:v>
      </x:c>
      <x:c r="R44" s="16" t="n">
        <x:v>0</x:v>
      </x:c>
      <x:c r="S44" s="16" t="n">
        <x:v>0</x:v>
      </x:c>
      <x:c r="T44" s="11"/>
      <x:c r="U44" s="11" t="str">
        <x:v>v300k_499k</x:v>
      </x:c>
      <x:c r="V44" s="16" t="n">
        <x:v>1</x:v>
      </x:c>
      <x:c r="W44" s="16" t="n">
        <x:v>1</x:v>
      </x:c>
      <x:c r="X44" s="16" t="n">
        <x:v>1</x:v>
      </x:c>
      <x:c r="Y44" s="16" t="n">
        <x:v>1</x:v>
      </x:c>
      <x:c r="Z44" s="16" t="n">
        <x:v>0</x:v>
      </x:c>
      <x:c r="AA44" s="16" t="n">
        <x:v>0</x:v>
      </x:c>
      <x:c r="AB44" s="16" t="n">
        <x:v>0</x:v>
      </x:c>
      <x:c r="AC44" s="16" t="n">
        <x:v>0</x:v>
      </x:c>
      <x:c r="AD44" s="16" t="n">
        <x:v>0</x:v>
      </x:c>
      <x:c r="AE44" s="11"/>
      <x:c r="AF44" s="11" t="str">
        <x:v>late_total</x:v>
      </x:c>
      <x:c r="AG44" s="11" t="str">
        <x:v>Tổng tiền sau ưu đãi khó đối chiếu với từng khoản.</x:v>
      </x:c>
      <x:c r="AH44" s="11" t="str">
        <x:v>yes</x:v>
      </x:c>
      <x:c r="AI44" s="16" t="n">
        <x:v>1</x:v>
      </x:c>
      <x:c r="AJ44" s="16" t="n">
        <x:v>0</x:v>
      </x:c>
      <x:c r="AK44" s="16" t="n">
        <x:v>0</x:v>
      </x:c>
      <x:c r="AL44" s="16" t="n">
        <x:v>0</x:v>
      </x:c>
      <x:c r="AM44" s="16" t="n">
        <x:v>0</x:v>
      </x:c>
      <x:c r="AN44" s="16" t="n">
        <x:v>1</x:v>
      </x:c>
      <x:c r="AO44" s="16" t="n">
        <x:v>0</x:v>
      </x:c>
      <x:c r="AP44" s="16" t="n">
        <x:v>0</x:v>
      </x:c>
      <x:c r="AQ44" s="11"/>
      <x:c r="AR44" s="16" t="n">
        <x:v>1</x:v>
      </x:c>
      <x:c r="AS44" s="16" t="n">
        <x:v>1</x:v>
      </x:c>
      <x:c r="AT44" s="16" t="n">
        <x:v>0</x:v>
      </x:c>
      <x:c r="AU44" s="16" t="n">
        <x:v>1</x:v>
      </x:c>
      <x:c r="AV44" s="16" t="n">
        <x:v>0</x:v>
      </x:c>
      <x:c r="AW44" s="16" t="n">
        <x:v>0</x:v>
      </x:c>
      <x:c r="AX44" s="16" t="n">
        <x:v>0</x:v>
      </x:c>
      <x:c r="AY44" s="16" t="n">
        <x:v>0</x:v>
      </x:c>
      <x:c r="AZ44" s="16" t="n">
        <x:v>0</x:v>
      </x:c>
      <x:c r="BA44" s="11"/>
      <x:c r="BB44" s="11" t="str">
        <x:v>prepaid</x:v>
      </x:c>
      <x:c r="BC44" s="11" t="str">
        <x:v>Phương thức này phù hợp ưu đãi của lần mua.</x:v>
      </x:c>
      <x:c r="BD44" s="11" t="str">
        <x:v>depends_on_benefits</x:v>
      </x:c>
      <x:c r="BE44" s="16" t="n">
        <x:v>1</x:v>
      </x:c>
      <x:c r="BF44" s="16" t="n">
        <x:v>0</x:v>
      </x:c>
      <x:c r="BG44" s="16" t="n">
        <x:v>1</x:v>
      </x:c>
      <x:c r="BH44" s="16" t="n">
        <x:v>1</x:v>
      </x:c>
      <x:c r="BI44" s="16" t="n">
        <x:v>1</x:v>
      </x:c>
      <x:c r="BJ44" s="16" t="n">
        <x:v>1</x:v>
      </x:c>
      <x:c r="BK44" s="16" t="n">
        <x:v>1</x:v>
      </x:c>
      <x:c r="BL44" s="11" t="str">
        <x:v>neutral</x:v>
      </x:c>
      <x:c r="BM44" s="11" t="str">
        <x:v>Hiển thị tổng tiền gồm phí giao trước khi xác nhận.</x:v>
      </x:c>
    </x:row>
    <x:row r="45" ht="64" customHeight="1">
      <x:c r="A45" s="12" t="str">
        <x:v>SYN-PH-040</x:v>
      </x:c>
      <x:c r="B45" s="12" t="str">
        <x:v>SYN</x:v>
      </x:c>
      <x:c r="C45" s="12" t="str">
        <x:v>N4</x:v>
      </x:c>
      <x:c r="D45" s="15" t="n">
        <x:v>11.6</x:v>
      </x:c>
      <x:c r="E45" s="17" t="n">
        <x:v>1</x:v>
      </x:c>
      <x:c r="F45" s="17" t="n">
        <x:v>1</x:v>
      </x:c>
      <x:c r="G45" s="12" t="str">
        <x:v>valid</x:v>
      </x:c>
      <x:c r="H45" s="12"/>
      <x:c r="I45" s="12"/>
      <x:c r="J45" s="12" t="str">
        <x:v>yes</x:v>
      </x:c>
      <x:c r="K45" s="12" t="str">
        <x:v>age_18_24</x:v>
      </x:c>
      <x:c r="L45" s="12" t="str">
        <x:v>yes</x:v>
      </x:c>
      <x:c r="M45" s="12" t="str">
        <x:v>other_urban</x:v>
      </x:c>
      <x:c r="N45" s="12" t="str">
        <x:v>weekly</x:v>
      </x:c>
      <x:c r="O45" s="17" t="n">
        <x:v>1</x:v>
      </x:c>
      <x:c r="P45" s="17" t="n">
        <x:v>1</x:v>
      </x:c>
      <x:c r="Q45" s="17" t="n">
        <x:v>0</x:v>
      </x:c>
      <x:c r="R45" s="17" t="n">
        <x:v>1</x:v>
      </x:c>
      <x:c r="S45" s="17" t="n">
        <x:v>0</x:v>
      </x:c>
      <x:c r="T45" s="12"/>
      <x:c r="U45" s="12" t="str">
        <x:v>under_300k</x:v>
      </x:c>
      <x:c r="V45" s="17" t="n">
        <x:v>1</x:v>
      </x:c>
      <x:c r="W45" s="17" t="n">
        <x:v>0</x:v>
      </x:c>
      <x:c r="X45" s="17" t="n">
        <x:v>0</x:v>
      </x:c>
      <x:c r="Y45" s="17" t="n">
        <x:v>0</x:v>
      </x:c>
      <x:c r="Z45" s="17" t="n">
        <x:v>0</x:v>
      </x:c>
      <x:c r="AA45" s="17" t="n">
        <x:v>0</x:v>
      </x:c>
      <x:c r="AB45" s="17" t="n">
        <x:v>0</x:v>
      </x:c>
      <x:c r="AC45" s="17" t="n">
        <x:v>0</x:v>
      </x:c>
      <x:c r="AD45" s="17" t="n">
        <x:v>0</x:v>
      </x:c>
      <x:c r="AE45" s="12"/>
      <x:c r="AF45" s="12" t="str">
        <x:v>size_uncertain</x:v>
      </x:c>
      <x:c r="AG45" s="12" t="str">
        <x:v>Không có số đo vai và chiều dài để chọn size.</x:v>
      </x:c>
      <x:c r="AH45" s="12" t="str">
        <x:v>no</x:v>
      </x:c>
      <x:c r="AI45" s="17"/>
      <x:c r="AJ45" s="17"/>
      <x:c r="AK45" s="17"/>
      <x:c r="AL45" s="17"/>
      <x:c r="AM45" s="17"/>
      <x:c r="AN45" s="17"/>
      <x:c r="AO45" s="17"/>
      <x:c r="AP45" s="17"/>
      <x:c r="AQ45" s="12"/>
      <x:c r="AR45" s="17" t="n">
        <x:v>1</x:v>
      </x:c>
      <x:c r="AS45" s="17" t="n">
        <x:v>0</x:v>
      </x:c>
      <x:c r="AT45" s="17" t="n">
        <x:v>0</x:v>
      </x:c>
      <x:c r="AU45" s="17" t="n">
        <x:v>0</x:v>
      </x:c>
      <x:c r="AV45" s="17" t="n">
        <x:v>0</x:v>
      </x:c>
      <x:c r="AW45" s="17" t="n">
        <x:v>1</x:v>
      </x:c>
      <x:c r="AX45" s="17" t="n">
        <x:v>0</x:v>
      </x:c>
      <x:c r="AY45" s="17" t="n">
        <x:v>0</x:v>
      </x:c>
      <x:c r="AZ45" s="17" t="n">
        <x:v>0</x:v>
      </x:c>
      <x:c r="BA45" s="12"/>
      <x:c r="BB45" s="12" t="str">
        <x:v>cod</x:v>
      </x:c>
      <x:c r="BC45" s="12" t="str">
        <x:v>Thuận tiện với cách nhận hàng gần đây.</x:v>
      </x:c>
      <x:c r="BD45" s="12" t="str">
        <x:v>depends_on_benefits</x:v>
      </x:c>
      <x:c r="BE45" s="17" t="n">
        <x:v>1</x:v>
      </x:c>
      <x:c r="BF45" s="17" t="n">
        <x:v>1</x:v>
      </x:c>
      <x:c r="BG45" s="17" t="n">
        <x:v>1</x:v>
      </x:c>
      <x:c r="BH45" s="17" t="n">
        <x:v>1</x:v>
      </x:c>
      <x:c r="BI45" s="17" t="n">
        <x:v>1</x:v>
      </x:c>
      <x:c r="BJ45" s="17" t="n">
        <x:v>1</x:v>
      </x:c>
      <x:c r="BK45" s="17" t="n">
        <x:v>1</x:v>
      </x:c>
      <x:c r="BL45" s="12" t="str">
        <x:v>fairly_willing</x:v>
      </x:c>
      <x:c r="BM45" s="12" t="str">
        <x:v>Thêm bảng số đo chi tiết theo từng mẫu.</x:v>
      </x:c>
    </x:row>
    <x:row r="46" ht="64" customHeight="1">
      <x:c r="A46" s="11" t="str">
        <x:v>SYN-PH-041</x:v>
      </x:c>
      <x:c r="B46" s="11" t="str">
        <x:v>SYN</x:v>
      </x:c>
      <x:c r="C46" s="11" t="str">
        <x:v>N5</x:v>
      </x:c>
      <x:c r="D46" s="14" t="n">
        <x:v>6.6</x:v>
      </x:c>
      <x:c r="E46" s="16" t="n">
        <x:v>1</x:v>
      </x:c>
      <x:c r="F46" s="16" t="n">
        <x:v>1</x:v>
      </x:c>
      <x:c r="G46" s="11" t="str">
        <x:v>valid</x:v>
      </x:c>
      <x:c r="H46" s="11"/>
      <x:c r="I46" s="11"/>
      <x:c r="J46" s="11" t="str">
        <x:v>yes</x:v>
      </x:c>
      <x:c r="K46" s="11" t="str">
        <x:v>age_25_34</x:v>
      </x:c>
      <x:c r="L46" s="11" t="str">
        <x:v>yes</x:v>
      </x:c>
      <x:c r="M46" s="11" t="str">
        <x:v>hcm</x:v>
      </x:c>
      <x:c r="N46" s="11" t="str">
        <x:v>monthly_2_3</x:v>
      </x:c>
      <x:c r="O46" s="16" t="n">
        <x:v>1</x:v>
      </x:c>
      <x:c r="P46" s="16" t="n">
        <x:v>0</x:v>
      </x:c>
      <x:c r="Q46" s="16" t="n">
        <x:v>0</x:v>
      </x:c>
      <x:c r="R46" s="16" t="n">
        <x:v>1</x:v>
      </x:c>
      <x:c r="S46" s="16" t="n">
        <x:v>0</x:v>
      </x:c>
      <x:c r="T46" s="11"/>
      <x:c r="U46" s="11" t="str">
        <x:v>v800k_1199k</x:v>
      </x:c>
      <x:c r="V46" s="16" t="n">
        <x:v>1</x:v>
      </x:c>
      <x:c r="W46" s="16" t="n">
        <x:v>1</x:v>
      </x:c>
      <x:c r="X46" s="16" t="n">
        <x:v>0</x:v>
      </x:c>
      <x:c r="Y46" s="16" t="n">
        <x:v>0</x:v>
      </x:c>
      <x:c r="Z46" s="16" t="n">
        <x:v>1</x:v>
      </x:c>
      <x:c r="AA46" s="16" t="n">
        <x:v>1</x:v>
      </x:c>
      <x:c r="AB46" s="16" t="n">
        <x:v>0</x:v>
      </x:c>
      <x:c r="AC46" s="16" t="n">
        <x:v>0</x:v>
      </x:c>
      <x:c r="AD46" s="16" t="n">
        <x:v>0</x:v>
      </x:c>
      <x:c r="AE46" s="11"/>
      <x:c r="AF46" s="11" t="str">
        <x:v>photo_mismatch</x:v>
      </x:c>
      <x:c r="AG46" s="11" t="str">
        <x:v>Ảnh chụp không thể hiện rõ độ dày vải.</x:v>
      </x:c>
      <x:c r="AH46" s="11" t="str">
        <x:v>yes</x:v>
      </x:c>
      <x:c r="AI46" s="16" t="n">
        <x:v>1</x:v>
      </x:c>
      <x:c r="AJ46" s="16" t="n">
        <x:v>1</x:v>
      </x:c>
      <x:c r="AK46" s="16" t="n">
        <x:v>0</x:v>
      </x:c>
      <x:c r="AL46" s="16" t="n">
        <x:v>0</x:v>
      </x:c>
      <x:c r="AM46" s="16" t="n">
        <x:v>0</x:v>
      </x:c>
      <x:c r="AN46" s="16" t="n">
        <x:v>0</x:v>
      </x:c>
      <x:c r="AO46" s="16" t="n">
        <x:v>0</x:v>
      </x:c>
      <x:c r="AP46" s="16" t="n">
        <x:v>0</x:v>
      </x:c>
      <x:c r="AQ46" s="11"/>
      <x:c r="AR46" s="16" t="n">
        <x:v>0</x:v>
      </x:c>
      <x:c r="AS46" s="16" t="n">
        <x:v>1</x:v>
      </x:c>
      <x:c r="AT46" s="16" t="n">
        <x:v>0</x:v>
      </x:c>
      <x:c r="AU46" s="16" t="n">
        <x:v>1</x:v>
      </x:c>
      <x:c r="AV46" s="16" t="n">
        <x:v>0</x:v>
      </x:c>
      <x:c r="AW46" s="16" t="n">
        <x:v>0</x:v>
      </x:c>
      <x:c r="AX46" s="16" t="n">
        <x:v>1</x:v>
      </x:c>
      <x:c r="AY46" s="16" t="n">
        <x:v>0</x:v>
      </x:c>
      <x:c r="AZ46" s="16" t="n">
        <x:v>0</x:v>
      </x:c>
      <x:c r="BA46" s="11"/>
      <x:c r="BB46" s="11" t="str">
        <x:v>prepaid</x:v>
      </x:c>
      <x:c r="BC46" s="11" t="str">
        <x:v>Đã quen thao tác thanh toán trước.</x:v>
      </x:c>
      <x:c r="BD46" s="11" t="str">
        <x:v>guest</x:v>
      </x:c>
      <x:c r="BE46" s="16" t="n">
        <x:v>1</x:v>
      </x:c>
      <x:c r="BF46" s="16" t="n">
        <x:v>0</x:v>
      </x:c>
      <x:c r="BG46" s="16" t="n">
        <x:v>0</x:v>
      </x:c>
      <x:c r="BH46" s="16" t="n">
        <x:v>1</x:v>
      </x:c>
      <x:c r="BI46" s="16" t="n">
        <x:v>1</x:v>
      </x:c>
      <x:c r="BJ46" s="16" t="n">
        <x:v>0</x:v>
      </x:c>
      <x:c r="BK46" s="16" t="n">
        <x:v>1</x:v>
      </x:c>
      <x:c r="BL46" s="11" t="str">
        <x:v>fairly_willing</x:v>
      </x:c>
      <x:c r="BM46" s="11" t="str">
        <x:v>Bổ sung ảnh cận chất liệu dưới ánh sáng thường.</x:v>
      </x:c>
    </x:row>
    <x:row r="47" ht="64" customHeight="1">
      <x:c r="A47" s="12" t="str">
        <x:v>SYN-PH-042</x:v>
      </x:c>
      <x:c r="B47" s="12" t="str">
        <x:v>SYN</x:v>
      </x:c>
      <x:c r="C47" s="12" t="str">
        <x:v>N5</x:v>
      </x:c>
      <x:c r="D47" s="15" t="n">
        <x:v>12.1</x:v>
      </x:c>
      <x:c r="E47" s="17" t="n">
        <x:v>1</x:v>
      </x:c>
      <x:c r="F47" s="17" t="n">
        <x:v>1</x:v>
      </x:c>
      <x:c r="G47" s="12" t="str">
        <x:v>valid</x:v>
      </x:c>
      <x:c r="H47" s="12"/>
      <x:c r="I47" s="12"/>
      <x:c r="J47" s="12" t="str">
        <x:v>yes</x:v>
      </x:c>
      <x:c r="K47" s="12" t="str">
        <x:v>age_35_44</x:v>
      </x:c>
      <x:c r="L47" s="12" t="str">
        <x:v>yes</x:v>
      </x:c>
      <x:c r="M47" s="12" t="str">
        <x:v>hcm</x:v>
      </x:c>
      <x:c r="N47" s="12" t="str">
        <x:v>monthly_2_3</x:v>
      </x:c>
      <x:c r="O47" s="17" t="n">
        <x:v>1</x:v>
      </x:c>
      <x:c r="P47" s="17" t="n">
        <x:v>0</x:v>
      </x:c>
      <x:c r="Q47" s="17" t="n">
        <x:v>0</x:v>
      </x:c>
      <x:c r="R47" s="17" t="n">
        <x:v>1</x:v>
      </x:c>
      <x:c r="S47" s="17" t="n">
        <x:v>0</x:v>
      </x:c>
      <x:c r="T47" s="12"/>
      <x:c r="U47" s="12" t="str">
        <x:v>v500k_799k</x:v>
      </x:c>
      <x:c r="V47" s="17" t="n">
        <x:v>0</x:v>
      </x:c>
      <x:c r="W47" s="17" t="n">
        <x:v>1</x:v>
      </x:c>
      <x:c r="X47" s="17" t="n">
        <x:v>1</x:v>
      </x:c>
      <x:c r="Y47" s="17" t="n">
        <x:v>1</x:v>
      </x:c>
      <x:c r="Z47" s="17" t="n">
        <x:v>1</x:v>
      </x:c>
      <x:c r="AA47" s="17" t="n">
        <x:v>0</x:v>
      </x:c>
      <x:c r="AB47" s="17" t="n">
        <x:v>0</x:v>
      </x:c>
      <x:c r="AC47" s="17" t="n">
        <x:v>0</x:v>
      </x:c>
      <x:c r="AD47" s="17" t="n">
        <x:v>0</x:v>
      </x:c>
      <x:c r="AE47" s="12"/>
      <x:c r="AF47" s="12" t="str">
        <x:v>photo_mismatch</x:v>
      </x:c>
      <x:c r="AG47" s="12" t="str">
        <x:v>Màu trong ảnh và mô tả thiếu thông tin dưới ánh sáng thường.</x:v>
      </x:c>
      <x:c r="AH47" s="12" t="str">
        <x:v>yes</x:v>
      </x:c>
      <x:c r="AI47" s="17" t="n">
        <x:v>1</x:v>
      </x:c>
      <x:c r="AJ47" s="17" t="n">
        <x:v>0</x:v>
      </x:c>
      <x:c r="AK47" s="17" t="n">
        <x:v>0</x:v>
      </x:c>
      <x:c r="AL47" s="17" t="n">
        <x:v>0</x:v>
      </x:c>
      <x:c r="AM47" s="17" t="n">
        <x:v>0</x:v>
      </x:c>
      <x:c r="AN47" s="17" t="n">
        <x:v>0</x:v>
      </x:c>
      <x:c r="AO47" s="17" t="n">
        <x:v>1</x:v>
      </x:c>
      <x:c r="AP47" s="17" t="n">
        <x:v>0</x:v>
      </x:c>
      <x:c r="AQ47" s="12"/>
      <x:c r="AR47" s="17" t="n">
        <x:v>1</x:v>
      </x:c>
      <x:c r="AS47" s="17" t="n">
        <x:v>0</x:v>
      </x:c>
      <x:c r="AT47" s="17" t="n">
        <x:v>0</x:v>
      </x:c>
      <x:c r="AU47" s="17" t="n">
        <x:v>0</x:v>
      </x:c>
      <x:c r="AV47" s="17" t="n">
        <x:v>0</x:v>
      </x:c>
      <x:c r="AW47" s="17" t="n">
        <x:v>1</x:v>
      </x:c>
      <x:c r="AX47" s="17" t="n">
        <x:v>0</x:v>
      </x:c>
      <x:c r="AY47" s="17" t="n">
        <x:v>1</x:v>
      </x:c>
      <x:c r="AZ47" s="17" t="n">
        <x:v>0</x:v>
      </x:c>
      <x:c r="BA47" s="12"/>
      <x:c r="BB47" s="12" t="str">
        <x:v>cod</x:v>
      </x:c>
      <x:c r="BC47" s="12" t="str">
        <x:v>Muốn nhận hàng rồi mới thanh toán.</x:v>
      </x:c>
      <x:c r="BD47" s="12" t="str">
        <x:v>guest</x:v>
      </x:c>
      <x:c r="BE47" s="17" t="n">
        <x:v>1</x:v>
      </x:c>
      <x:c r="BF47" s="17" t="n">
        <x:v>1</x:v>
      </x:c>
      <x:c r="BG47" s="17" t="n">
        <x:v>0</x:v>
      </x:c>
      <x:c r="BH47" s="17" t="n">
        <x:v>0</x:v>
      </x:c>
      <x:c r="BI47" s="17" t="n">
        <x:v>1</x:v>
      </x:c>
      <x:c r="BJ47" s="17" t="n">
        <x:v>1</x:v>
      </x:c>
      <x:c r="BK47" s="17" t="n">
        <x:v>1</x:v>
      </x:c>
      <x:c r="BL47" s="12" t="str">
        <x:v>fairly_willing</x:v>
      </x:c>
      <x:c r="BM47" s="12" t="str">
        <x:v>Cho xem ảnh mặt trước, sau và chi tiết đường may.</x:v>
      </x:c>
    </x:row>
    <x:row r="48" ht="64" customHeight="1">
      <x:c r="A48" s="11" t="str">
        <x:v>SYN-PH-043</x:v>
      </x:c>
      <x:c r="B48" s="11" t="str">
        <x:v>SYN</x:v>
      </x:c>
      <x:c r="C48" s="11" t="str">
        <x:v>N5</x:v>
      </x:c>
      <x:c r="D48" s="14" t="n">
        <x:v>11.1</x:v>
      </x:c>
      <x:c r="E48" s="16" t="n">
        <x:v>1</x:v>
      </x:c>
      <x:c r="F48" s="16" t="n">
        <x:v>1</x:v>
      </x:c>
      <x:c r="G48" s="11" t="str">
        <x:v>valid</x:v>
      </x:c>
      <x:c r="H48" s="11"/>
      <x:c r="I48" s="11"/>
      <x:c r="J48" s="11" t="str">
        <x:v>yes</x:v>
      </x:c>
      <x:c r="K48" s="11" t="str">
        <x:v>age_18_24</x:v>
      </x:c>
      <x:c r="L48" s="11" t="str">
        <x:v>yes</x:v>
      </x:c>
      <x:c r="M48" s="11" t="str">
        <x:v>other_urban</x:v>
      </x:c>
      <x:c r="N48" s="11" t="str">
        <x:v>monthly_2_3</x:v>
      </x:c>
      <x:c r="O48" s="16" t="n">
        <x:v>1</x:v>
      </x:c>
      <x:c r="P48" s="16" t="n">
        <x:v>1</x:v>
      </x:c>
      <x:c r="Q48" s="16" t="n">
        <x:v>1</x:v>
      </x:c>
      <x:c r="R48" s="16" t="n">
        <x:v>0</x:v>
      </x:c>
      <x:c r="S48" s="16" t="n">
        <x:v>0</x:v>
      </x:c>
      <x:c r="T48" s="11"/>
      <x:c r="U48" s="11" t="str">
        <x:v>v500k_799k</x:v>
      </x:c>
      <x:c r="V48" s="16" t="n">
        <x:v>1</x:v>
      </x:c>
      <x:c r="W48" s="16" t="n">
        <x:v>1</x:v>
      </x:c>
      <x:c r="X48" s="16" t="n">
        <x:v>0</x:v>
      </x:c>
      <x:c r="Y48" s="16" t="n">
        <x:v>1</x:v>
      </x:c>
      <x:c r="Z48" s="16" t="n">
        <x:v>1</x:v>
      </x:c>
      <x:c r="AA48" s="16" t="n">
        <x:v>0</x:v>
      </x:c>
      <x:c r="AB48" s="16" t="n">
        <x:v>1</x:v>
      </x:c>
      <x:c r="AC48" s="16" t="n">
        <x:v>0</x:v>
      </x:c>
      <x:c r="AD48" s="16" t="n">
        <x:v>0</x:v>
      </x:c>
      <x:c r="AE48" s="11"/>
      <x:c r="AF48" s="11" t="str">
        <x:v>size_uncertain</x:v>
      </x:c>
      <x:c r="AG48" s="11" t="str">
        <x:v>Không có số đo vai và chiều dài để chọn size.</x:v>
      </x:c>
      <x:c r="AH48" s="11" t="str">
        <x:v>yes</x:v>
      </x:c>
      <x:c r="AI48" s="16" t="n">
        <x:v>1</x:v>
      </x:c>
      <x:c r="AJ48" s="16" t="n">
        <x:v>1</x:v>
      </x:c>
      <x:c r="AK48" s="16" t="n">
        <x:v>0</x:v>
      </x:c>
      <x:c r="AL48" s="16" t="n">
        <x:v>1</x:v>
      </x:c>
      <x:c r="AM48" s="16" t="n">
        <x:v>0</x:v>
      </x:c>
      <x:c r="AN48" s="16" t="n">
        <x:v>0</x:v>
      </x:c>
      <x:c r="AO48" s="16" t="n">
        <x:v>0</x:v>
      </x:c>
      <x:c r="AP48" s="16" t="n">
        <x:v>0</x:v>
      </x:c>
      <x:c r="AQ48" s="11"/>
      <x:c r="AR48" s="16" t="n">
        <x:v>1</x:v>
      </x:c>
      <x:c r="AS48" s="16" t="n">
        <x:v>0</x:v>
      </x:c>
      <x:c r="AT48" s="16" t="n">
        <x:v>0</x:v>
      </x:c>
      <x:c r="AU48" s="16" t="n">
        <x:v>1</x:v>
      </x:c>
      <x:c r="AV48" s="16" t="n">
        <x:v>0</x:v>
      </x:c>
      <x:c r="AW48" s="16" t="n">
        <x:v>0</x:v>
      </x:c>
      <x:c r="AX48" s="16" t="n">
        <x:v>0</x:v>
      </x:c>
      <x:c r="AY48" s="16" t="n">
        <x:v>1</x:v>
      </x:c>
      <x:c r="AZ48" s="16" t="n">
        <x:v>0</x:v>
      </x:c>
      <x:c r="BA48" s="11"/>
      <x:c r="BB48" s="11" t="str">
        <x:v>prepaid</x:v>
      </x:c>
      <x:c r="BC48" s="11" t="str">
        <x:v>Phương thức này phù hợp ưu đãi của lần mua.</x:v>
      </x:c>
      <x:c r="BD48" s="11" t="str">
        <x:v>depends_on_benefits</x:v>
      </x:c>
      <x:c r="BE48" s="16" t="n">
        <x:v>1</x:v>
      </x:c>
      <x:c r="BF48" s="16" t="n">
        <x:v>1</x:v>
      </x:c>
      <x:c r="BG48" s="16" t="n">
        <x:v>0</x:v>
      </x:c>
      <x:c r="BH48" s="16" t="n">
        <x:v>1</x:v>
      </x:c>
      <x:c r="BI48" s="16" t="n">
        <x:v>1</x:v>
      </x:c>
      <x:c r="BJ48" s="16" t="n">
        <x:v>0</x:v>
      </x:c>
      <x:c r="BK48" s="16" t="n">
        <x:v>1</x:v>
      </x:c>
      <x:c r="BL48" s="11" t="str">
        <x:v>less_willing</x:v>
      </x:c>
      <x:c r="BM48" s="11" t="str">
        <x:v>Ghi rõ phom áo và số đo người mẫu.</x:v>
      </x:c>
    </x:row>
    <x:row r="49" ht="64" customHeight="1">
      <x:c r="A49" s="12" t="str">
        <x:v>SYN-PH-044</x:v>
      </x:c>
      <x:c r="B49" s="12" t="str">
        <x:v>SYN</x:v>
      </x:c>
      <x:c r="C49" s="12" t="str">
        <x:v>N5</x:v>
      </x:c>
      <x:c r="D49" s="15" t="n">
        <x:v>9.3</x:v>
      </x:c>
      <x:c r="E49" s="17" t="n">
        <x:v>1</x:v>
      </x:c>
      <x:c r="F49" s="17" t="n">
        <x:v>1</x:v>
      </x:c>
      <x:c r="G49" s="12" t="str">
        <x:v>valid</x:v>
      </x:c>
      <x:c r="H49" s="12"/>
      <x:c r="I49" s="12"/>
      <x:c r="J49" s="12" t="str">
        <x:v>yes</x:v>
      </x:c>
      <x:c r="K49" s="12" t="str">
        <x:v>age_25_34</x:v>
      </x:c>
      <x:c r="L49" s="12" t="str">
        <x:v>yes</x:v>
      </x:c>
      <x:c r="M49" s="12" t="str">
        <x:v>hanoi</x:v>
      </x:c>
      <x:c r="N49" s="12" t="str">
        <x:v>monthly_2_3</x:v>
      </x:c>
      <x:c r="O49" s="17" t="n">
        <x:v>1</x:v>
      </x:c>
      <x:c r="P49" s="17" t="n">
        <x:v>1</x:v>
      </x:c>
      <x:c r="Q49" s="17" t="n">
        <x:v>0</x:v>
      </x:c>
      <x:c r="R49" s="17" t="n">
        <x:v>1</x:v>
      </x:c>
      <x:c r="S49" s="17" t="n">
        <x:v>0</x:v>
      </x:c>
      <x:c r="T49" s="12"/>
      <x:c r="U49" s="12" t="str">
        <x:v>v800k_1199k</x:v>
      </x:c>
      <x:c r="V49" s="17" t="n">
        <x:v>1</x:v>
      </x:c>
      <x:c r="W49" s="17" t="n">
        <x:v>0</x:v>
      </x:c>
      <x:c r="X49" s="17" t="n">
        <x:v>0</x:v>
      </x:c>
      <x:c r="Y49" s="17" t="n">
        <x:v>0</x:v>
      </x:c>
      <x:c r="Z49" s="17" t="n">
        <x:v>0</x:v>
      </x:c>
      <x:c r="AA49" s="17" t="n">
        <x:v>0</x:v>
      </x:c>
      <x:c r="AB49" s="17" t="n">
        <x:v>1</x:v>
      </x:c>
      <x:c r="AC49" s="17" t="n">
        <x:v>0</x:v>
      </x:c>
      <x:c r="AD49" s="17" t="n">
        <x:v>0</x:v>
      </x:c>
      <x:c r="AE49" s="12"/>
      <x:c r="AF49" s="12" t="str">
        <x:v>payment_concern</x:v>
      </x:c>
      <x:c r="AG49" s="12" t="str">
        <x:v>Muốn biết cách xử lý khi đã trả tiền nhưng chưa thấy đơn.</x:v>
      </x:c>
      <x:c r="AH49" s="12" t="str">
        <x:v>no</x:v>
      </x:c>
      <x:c r="AI49" s="17"/>
      <x:c r="AJ49" s="17"/>
      <x:c r="AK49" s="17"/>
      <x:c r="AL49" s="17"/>
      <x:c r="AM49" s="17"/>
      <x:c r="AN49" s="17"/>
      <x:c r="AO49" s="17"/>
      <x:c r="AP49" s="17"/>
      <x:c r="AQ49" s="12"/>
      <x:c r="AR49" s="17" t="n">
        <x:v>0</x:v>
      </x:c>
      <x:c r="AS49" s="17" t="n">
        <x:v>0</x:v>
      </x:c>
      <x:c r="AT49" s="17" t="n">
        <x:v>0</x:v>
      </x:c>
      <x:c r="AU49" s="17" t="n">
        <x:v>0</x:v>
      </x:c>
      <x:c r="AV49" s="17" t="n">
        <x:v>1</x:v>
      </x:c>
      <x:c r="AW49" s="17" t="n">
        <x:v>0</x:v>
      </x:c>
      <x:c r="AX49" s="17" t="n">
        <x:v>1</x:v>
      </x:c>
      <x:c r="AY49" s="17" t="n">
        <x:v>1</x:v>
      </x:c>
      <x:c r="AZ49" s="17" t="n">
        <x:v>0</x:v>
      </x:c>
      <x:c r="BA49" s="12"/>
      <x:c r="BB49" s="12" t="str">
        <x:v>prepaid</x:v>
      </x:c>
      <x:c r="BC49" s="12" t="str">
        <x:v>Phương thức này phù hợp ưu đãi của lần mua.</x:v>
      </x:c>
      <x:c r="BD49" s="12" t="str">
        <x:v>register_now</x:v>
      </x:c>
      <x:c r="BE49" s="17" t="n">
        <x:v>0</x:v>
      </x:c>
      <x:c r="BF49" s="17" t="n">
        <x:v>0</x:v>
      </x:c>
      <x:c r="BG49" s="17" t="n">
        <x:v>0</x:v>
      </x:c>
      <x:c r="BH49" s="17" t="n">
        <x:v>1</x:v>
      </x:c>
      <x:c r="BI49" s="17" t="n">
        <x:v>0</x:v>
      </x:c>
      <x:c r="BJ49" s="17" t="n">
        <x:v>0</x:v>
      </x:c>
      <x:c r="BK49" s="17" t="n">
        <x:v>0</x:v>
      </x:c>
      <x:c r="BL49" s="12" t="str">
        <x:v>fairly_willing</x:v>
      </x:c>
      <x:c r="BM49" s="12" t="str">
        <x:v>Có xác nhận rõ kết quả thanh toán và hướng dẫn khi lỗi.</x:v>
      </x:c>
    </x:row>
    <x:row r="50" ht="64" customHeight="1">
      <x:c r="A50" s="11" t="str">
        <x:v>SYN-PH-045</x:v>
      </x:c>
      <x:c r="B50" s="11" t="str">
        <x:v>SYN</x:v>
      </x:c>
      <x:c r="C50" s="11" t="str">
        <x:v>N5</x:v>
      </x:c>
      <x:c r="D50" s="14" t="n">
        <x:v>7.1</x:v>
      </x:c>
      <x:c r="E50" s="16" t="n">
        <x:v>1</x:v>
      </x:c>
      <x:c r="F50" s="16" t="n">
        <x:v>1</x:v>
      </x:c>
      <x:c r="G50" s="11" t="str">
        <x:v>valid</x:v>
      </x:c>
      <x:c r="H50" s="11"/>
      <x:c r="I50" s="11"/>
      <x:c r="J50" s="11" t="str">
        <x:v>yes</x:v>
      </x:c>
      <x:c r="K50" s="11" t="str">
        <x:v>age_25_34</x:v>
      </x:c>
      <x:c r="L50" s="11" t="str">
        <x:v>yes</x:v>
      </x:c>
      <x:c r="M50" s="11" t="str">
        <x:v>nonurban</x:v>
      </x:c>
      <x:c r="N50" s="11" t="str">
        <x:v>monthly_2_3</x:v>
      </x:c>
      <x:c r="O50" s="16" t="n">
        <x:v>0</x:v>
      </x:c>
      <x:c r="P50" s="16" t="n">
        <x:v>0</x:v>
      </x:c>
      <x:c r="Q50" s="16" t="n">
        <x:v>1</x:v>
      </x:c>
      <x:c r="R50" s="16" t="n">
        <x:v>0</x:v>
      </x:c>
      <x:c r="S50" s="16" t="n">
        <x:v>0</x:v>
      </x:c>
      <x:c r="T50" s="11"/>
      <x:c r="U50" s="11" t="str">
        <x:v>v300k_499k</x:v>
      </x:c>
      <x:c r="V50" s="16" t="n">
        <x:v>1</x:v>
      </x:c>
      <x:c r="W50" s="16" t="n">
        <x:v>1</x:v>
      </x:c>
      <x:c r="X50" s="16" t="n">
        <x:v>1</x:v>
      </x:c>
      <x:c r="Y50" s="16" t="n">
        <x:v>1</x:v>
      </x:c>
      <x:c r="Z50" s="16" t="n">
        <x:v>0</x:v>
      </x:c>
      <x:c r="AA50" s="16" t="n">
        <x:v>0</x:v>
      </x:c>
      <x:c r="AB50" s="16" t="n">
        <x:v>1</x:v>
      </x:c>
      <x:c r="AC50" s="16" t="n">
        <x:v>0</x:v>
      </x:c>
      <x:c r="AD50" s="16" t="n">
        <x:v>0</x:v>
      </x:c>
      <x:c r="AE50" s="11"/>
      <x:c r="AF50" s="11" t="str">
        <x:v>late_total</x:v>
      </x:c>
      <x:c r="AG50" s="11" t="str">
        <x:v>Tổng tiền sau ưu đãi khó đối chiếu với từng khoản.</x:v>
      </x:c>
      <x:c r="AH50" s="11" t="str">
        <x:v>yes</x:v>
      </x:c>
      <x:c r="AI50" s="16" t="n">
        <x:v>1</x:v>
      </x:c>
      <x:c r="AJ50" s="16" t="n">
        <x:v>0</x:v>
      </x:c>
      <x:c r="AK50" s="16" t="n">
        <x:v>1</x:v>
      </x:c>
      <x:c r="AL50" s="16" t="n">
        <x:v>0</x:v>
      </x:c>
      <x:c r="AM50" s="16" t="n">
        <x:v>1</x:v>
      </x:c>
      <x:c r="AN50" s="16" t="n">
        <x:v>0</x:v>
      </x:c>
      <x:c r="AO50" s="16" t="n">
        <x:v>0</x:v>
      </x:c>
      <x:c r="AP50" s="16" t="n">
        <x:v>0</x:v>
      </x:c>
      <x:c r="AQ50" s="11"/>
      <x:c r="AR50" s="16" t="n">
        <x:v>0</x:v>
      </x:c>
      <x:c r="AS50" s="16" t="n">
        <x:v>1</x:v>
      </x:c>
      <x:c r="AT50" s="16" t="n">
        <x:v>0</x:v>
      </x:c>
      <x:c r="AU50" s="16" t="n">
        <x:v>0</x:v>
      </x:c>
      <x:c r="AV50" s="16" t="n">
        <x:v>1</x:v>
      </x:c>
      <x:c r="AW50" s="16" t="n">
        <x:v>0</x:v>
      </x:c>
      <x:c r="AX50" s="16" t="n">
        <x:v>0</x:v>
      </x:c>
      <x:c r="AY50" s="16" t="n">
        <x:v>1</x:v>
      </x:c>
      <x:c r="AZ50" s="16" t="n">
        <x:v>0</x:v>
      </x:c>
      <x:c r="BA50" s="11"/>
      <x:c r="BB50" s="11" t="str">
        <x:v>cod</x:v>
      </x:c>
      <x:c r="BC50" s="11" t="str">
        <x:v>Muốn nhận hàng rồi mới thanh toán.</x:v>
      </x:c>
      <x:c r="BD50" s="11" t="str">
        <x:v>guest</x:v>
      </x:c>
      <x:c r="BE50" s="16" t="n">
        <x:v>1</x:v>
      </x:c>
      <x:c r="BF50" s="16" t="n">
        <x:v>1</x:v>
      </x:c>
      <x:c r="BG50" s="16" t="n">
        <x:v>1</x:v>
      </x:c>
      <x:c r="BH50" s="16" t="n">
        <x:v>1</x:v>
      </x:c>
      <x:c r="BI50" s="16" t="n">
        <x:v>1</x:v>
      </x:c>
      <x:c r="BJ50" s="16" t="n">
        <x:v>0</x:v>
      </x:c>
      <x:c r="BK50" s="16" t="n">
        <x:v>1</x:v>
      </x:c>
      <x:c r="BL50" s="11" t="str">
        <x:v>less_willing</x:v>
      </x:c>
      <x:c r="BM50" s="11" t="str">
        <x:v>Giải thích vì sao mã giảm giá không áp dụng.</x:v>
      </x:c>
    </x:row>
    <x:row r="51" ht="64" customHeight="1">
      <x:c r="A51" s="12" t="str">
        <x:v>SYN-PH-046</x:v>
      </x:c>
      <x:c r="B51" s="12" t="str">
        <x:v>SYN</x:v>
      </x:c>
      <x:c r="C51" s="12" t="str">
        <x:v>N5</x:v>
      </x:c>
      <x:c r="D51" s="15" t="n">
        <x:v>8.3</x:v>
      </x:c>
      <x:c r="E51" s="17" t="n">
        <x:v>1</x:v>
      </x:c>
      <x:c r="F51" s="17" t="n">
        <x:v>1</x:v>
      </x:c>
      <x:c r="G51" s="12" t="str">
        <x:v>valid</x:v>
      </x:c>
      <x:c r="H51" s="12"/>
      <x:c r="I51" s="12"/>
      <x:c r="J51" s="12" t="str">
        <x:v>yes</x:v>
      </x:c>
      <x:c r="K51" s="12" t="str">
        <x:v>age_18_24</x:v>
      </x:c>
      <x:c r="L51" s="12" t="str">
        <x:v>yes</x:v>
      </x:c>
      <x:c r="M51" s="12" t="str">
        <x:v>nonurban</x:v>
      </x:c>
      <x:c r="N51" s="12" t="str">
        <x:v>less_often</x:v>
      </x:c>
      <x:c r="O51" s="17" t="n">
        <x:v>1</x:v>
      </x:c>
      <x:c r="P51" s="17" t="n">
        <x:v>0</x:v>
      </x:c>
      <x:c r="Q51" s="17" t="n">
        <x:v>0</x:v>
      </x:c>
      <x:c r="R51" s="17" t="n">
        <x:v>0</x:v>
      </x:c>
      <x:c r="S51" s="17" t="n">
        <x:v>0</x:v>
      </x:c>
      <x:c r="T51" s="12"/>
      <x:c r="U51" s="12" t="str">
        <x:v>v500k_799k</x:v>
      </x:c>
      <x:c r="V51" s="17" t="n">
        <x:v>1</x:v>
      </x:c>
      <x:c r="W51" s="17" t="n">
        <x:v>1</x:v>
      </x:c>
      <x:c r="X51" s="17" t="n">
        <x:v>0</x:v>
      </x:c>
      <x:c r="Y51" s="17" t="n">
        <x:v>1</x:v>
      </x:c>
      <x:c r="Z51" s="17" t="n">
        <x:v>0</x:v>
      </x:c>
      <x:c r="AA51" s="17" t="n">
        <x:v>1</x:v>
      </x:c>
      <x:c r="AB51" s="17" t="n">
        <x:v>0</x:v>
      </x:c>
      <x:c r="AC51" s="17" t="n">
        <x:v>0</x:v>
      </x:c>
      <x:c r="AD51" s="17" t="n">
        <x:v>0</x:v>
      </x:c>
      <x:c r="AE51" s="12"/>
      <x:c r="AF51" s="12" t="str">
        <x:v>photo_mismatch</x:v>
      </x:c>
      <x:c r="AG51" s="12" t="str">
        <x:v>Thiếu ảnh cận chất liệu và đường may.</x:v>
      </x:c>
      <x:c r="AH51" s="12" t="str">
        <x:v>no</x:v>
      </x:c>
      <x:c r="AI51" s="17"/>
      <x:c r="AJ51" s="17"/>
      <x:c r="AK51" s="17"/>
      <x:c r="AL51" s="17"/>
      <x:c r="AM51" s="17"/>
      <x:c r="AN51" s="17"/>
      <x:c r="AO51" s="17"/>
      <x:c r="AP51" s="17"/>
      <x:c r="AQ51" s="12"/>
      <x:c r="AR51" s="17" t="n">
        <x:v>0</x:v>
      </x:c>
      <x:c r="AS51" s="17" t="n">
        <x:v>0</x:v>
      </x:c>
      <x:c r="AT51" s="17" t="n">
        <x:v>1</x:v>
      </x:c>
      <x:c r="AU51" s="17" t="n">
        <x:v>0</x:v>
      </x:c>
      <x:c r="AV51" s="17" t="n">
        <x:v>0</x:v>
      </x:c>
      <x:c r="AW51" s="17" t="n">
        <x:v>1</x:v>
      </x:c>
      <x:c r="AX51" s="17" t="n">
        <x:v>1</x:v>
      </x:c>
      <x:c r="AY51" s="17" t="n">
        <x:v>0</x:v>
      </x:c>
      <x:c r="AZ51" s="17" t="n">
        <x:v>0</x:v>
      </x:c>
      <x:c r="BA51" s="12"/>
      <x:c r="BB51" s="12" t="str">
        <x:v>cod</x:v>
      </x:c>
      <x:c r="BC51" s="12" t="str">
        <x:v>Muốn nhận hàng rồi mới thanh toán.</x:v>
      </x:c>
      <x:c r="BD51" s="12" t="str">
        <x:v>register_now</x:v>
      </x:c>
      <x:c r="BE51" s="17" t="n">
        <x:v>0</x:v>
      </x:c>
      <x:c r="BF51" s="17" t="n">
        <x:v>0</x:v>
      </x:c>
      <x:c r="BG51" s="17" t="n">
        <x:v>1</x:v>
      </x:c>
      <x:c r="BH51" s="17" t="n">
        <x:v>1</x:v>
      </x:c>
      <x:c r="BI51" s="17" t="n">
        <x:v>1</x:v>
      </x:c>
      <x:c r="BJ51" s="17" t="n">
        <x:v>0</x:v>
      </x:c>
      <x:c r="BK51" s="17" t="n">
        <x:v>0</x:v>
      </x:c>
      <x:c r="BL51" s="12" t="str">
        <x:v>less_willing</x:v>
      </x:c>
      <x:c r="BM51" s="12" t="str">
        <x:v>Bổ sung ảnh cận chất liệu dưới ánh sáng thường.</x:v>
      </x:c>
    </x:row>
    <x:row r="52" ht="64" customHeight="1">
      <x:c r="A52" s="11" t="str">
        <x:v>SYN-PH-047</x:v>
      </x:c>
      <x:c r="B52" s="11" t="str">
        <x:v>SYN</x:v>
      </x:c>
      <x:c r="C52" s="11" t="str">
        <x:v>N5</x:v>
      </x:c>
      <x:c r="D52" s="14" t="n">
        <x:v>7.4</x:v>
      </x:c>
      <x:c r="E52" s="16" t="n">
        <x:v>1</x:v>
      </x:c>
      <x:c r="F52" s="16" t="n">
        <x:v>1</x:v>
      </x:c>
      <x:c r="G52" s="11" t="str">
        <x:v>valid</x:v>
      </x:c>
      <x:c r="H52" s="11"/>
      <x:c r="I52" s="11"/>
      <x:c r="J52" s="11" t="str">
        <x:v>yes</x:v>
      </x:c>
      <x:c r="K52" s="11" t="str">
        <x:v>age_25_34</x:v>
      </x:c>
      <x:c r="L52" s="11" t="str">
        <x:v>yes</x:v>
      </x:c>
      <x:c r="M52" s="11" t="str">
        <x:v>other_urban</x:v>
      </x:c>
      <x:c r="N52" s="11" t="str">
        <x:v>monthly_2_3</x:v>
      </x:c>
      <x:c r="O52" s="16" t="n">
        <x:v>1</x:v>
      </x:c>
      <x:c r="P52" s="16" t="n">
        <x:v>1</x:v>
      </x:c>
      <x:c r="Q52" s="16" t="n">
        <x:v>0</x:v>
      </x:c>
      <x:c r="R52" s="16" t="n">
        <x:v>0</x:v>
      </x:c>
      <x:c r="S52" s="16" t="n">
        <x:v>0</x:v>
      </x:c>
      <x:c r="T52" s="11"/>
      <x:c r="U52" s="11" t="str">
        <x:v>under_300k</x:v>
      </x:c>
      <x:c r="V52" s="16" t="n">
        <x:v>0</x:v>
      </x:c>
      <x:c r="W52" s="16" t="n">
        <x:v>1</x:v>
      </x:c>
      <x:c r="X52" s="16" t="n">
        <x:v>1</x:v>
      </x:c>
      <x:c r="Y52" s="16" t="n">
        <x:v>0</x:v>
      </x:c>
      <x:c r="Z52" s="16" t="n">
        <x:v>1</x:v>
      </x:c>
      <x:c r="AA52" s="16" t="n">
        <x:v>0</x:v>
      </x:c>
      <x:c r="AB52" s="16" t="n">
        <x:v>0</x:v>
      </x:c>
      <x:c r="AC52" s="16" t="n">
        <x:v>0</x:v>
      </x:c>
      <x:c r="AD52" s="16" t="n">
        <x:v>0</x:v>
      </x:c>
      <x:c r="AE52" s="11"/>
      <x:c r="AF52" s="11" t="str">
        <x:v>returns_unclear</x:v>
      </x:c>
      <x:c r="AG52" s="11" t="str">
        <x:v>Khó tìm thời hạn đổi size trước khi đặt.</x:v>
      </x:c>
      <x:c r="AH52" s="11" t="str">
        <x:v>yes</x:v>
      </x:c>
      <x:c r="AI52" s="16" t="n">
        <x:v>0</x:v>
      </x:c>
      <x:c r="AJ52" s="16" t="n">
        <x:v>0</x:v>
      </x:c>
      <x:c r="AK52" s="16" t="n">
        <x:v>1</x:v>
      </x:c>
      <x:c r="AL52" s="16" t="n">
        <x:v>0</x:v>
      </x:c>
      <x:c r="AM52" s="16" t="n">
        <x:v>0</x:v>
      </x:c>
      <x:c r="AN52" s="16" t="n">
        <x:v>0</x:v>
      </x:c>
      <x:c r="AO52" s="16" t="n">
        <x:v>0</x:v>
      </x:c>
      <x:c r="AP52" s="16" t="n">
        <x:v>0</x:v>
      </x:c>
      <x:c r="AQ52" s="11"/>
      <x:c r="AR52" s="16" t="n">
        <x:v>0</x:v>
      </x:c>
      <x:c r="AS52" s="16" t="n">
        <x:v>1</x:v>
      </x:c>
      <x:c r="AT52" s="16" t="n">
        <x:v>0</x:v>
      </x:c>
      <x:c r="AU52" s="16" t="n">
        <x:v>0</x:v>
      </x:c>
      <x:c r="AV52" s="16" t="n">
        <x:v>0</x:v>
      </x:c>
      <x:c r="AW52" s="16" t="n">
        <x:v>0</x:v>
      </x:c>
      <x:c r="AX52" s="16" t="n">
        <x:v>1</x:v>
      </x:c>
      <x:c r="AY52" s="16" t="n">
        <x:v>1</x:v>
      </x:c>
      <x:c r="AZ52" s="16" t="n">
        <x:v>0</x:v>
      </x:c>
      <x:c r="BA52" s="11"/>
      <x:c r="BB52" s="11" t="str">
        <x:v>cod</x:v>
      </x:c>
      <x:c r="BC52" s="11" t="str">
        <x:v>Muốn nhận hàng rồi mới thanh toán.</x:v>
      </x:c>
      <x:c r="BD52" s="11" t="str">
        <x:v>guest</x:v>
      </x:c>
      <x:c r="BE52" s="16" t="n">
        <x:v>1</x:v>
      </x:c>
      <x:c r="BF52" s="16" t="n">
        <x:v>0</x:v>
      </x:c>
      <x:c r="BG52" s="16" t="n">
        <x:v>1</x:v>
      </x:c>
      <x:c r="BH52" s="16" t="n">
        <x:v>1</x:v>
      </x:c>
      <x:c r="BI52" s="16" t="n">
        <x:v>1</x:v>
      </x:c>
      <x:c r="BJ52" s="16" t="n">
        <x:v>0</x:v>
      </x:c>
      <x:c r="BK52" s="16" t="n">
        <x:v>0</x:v>
      </x:c>
      <x:c r="BL52" s="11" t="str">
        <x:v>neutral</x:v>
      </x:c>
      <x:c r="BM52" s="11" t="str">
        <x:v>Đưa điều kiện đổi size ngay cạnh nút mua.</x:v>
      </x:c>
    </x:row>
    <x:row r="53" ht="64" customHeight="1">
      <x:c r="A53" s="12" t="str">
        <x:v>SYN-PH-048</x:v>
      </x:c>
      <x:c r="B53" s="12" t="str">
        <x:v>SYN</x:v>
      </x:c>
      <x:c r="C53" s="12" t="str">
        <x:v>N5</x:v>
      </x:c>
      <x:c r="D53" s="15" t="n">
        <x:v>8.1</x:v>
      </x:c>
      <x:c r="E53" s="17" t="n">
        <x:v>1</x:v>
      </x:c>
      <x:c r="F53" s="17" t="n">
        <x:v>1</x:v>
      </x:c>
      <x:c r="G53" s="12" t="str">
        <x:v>valid</x:v>
      </x:c>
      <x:c r="H53" s="12"/>
      <x:c r="I53" s="12"/>
      <x:c r="J53" s="12" t="str">
        <x:v>yes</x:v>
      </x:c>
      <x:c r="K53" s="12" t="str">
        <x:v>age_25_34</x:v>
      </x:c>
      <x:c r="L53" s="12" t="str">
        <x:v>yes</x:v>
      </x:c>
      <x:c r="M53" s="12" t="str">
        <x:v>other_urban</x:v>
      </x:c>
      <x:c r="N53" s="12" t="str">
        <x:v>monthly</x:v>
      </x:c>
      <x:c r="O53" s="17" t="n">
        <x:v>1</x:v>
      </x:c>
      <x:c r="P53" s="17" t="n">
        <x:v>0</x:v>
      </x:c>
      <x:c r="Q53" s="17" t="n">
        <x:v>1</x:v>
      </x:c>
      <x:c r="R53" s="17" t="n">
        <x:v>0</x:v>
      </x:c>
      <x:c r="S53" s="17" t="n">
        <x:v>0</x:v>
      </x:c>
      <x:c r="T53" s="12"/>
      <x:c r="U53" s="12" t="str">
        <x:v>under_300k</x:v>
      </x:c>
      <x:c r="V53" s="17" t="n">
        <x:v>1</x:v>
      </x:c>
      <x:c r="W53" s="17" t="n">
        <x:v>1</x:v>
      </x:c>
      <x:c r="X53" s="17" t="n">
        <x:v>1</x:v>
      </x:c>
      <x:c r="Y53" s="17" t="n">
        <x:v>0</x:v>
      </x:c>
      <x:c r="Z53" s="17" t="n">
        <x:v>1</x:v>
      </x:c>
      <x:c r="AA53" s="17" t="n">
        <x:v>1</x:v>
      </x:c>
      <x:c r="AB53" s="17" t="n">
        <x:v>0</x:v>
      </x:c>
      <x:c r="AC53" s="17" t="n">
        <x:v>0</x:v>
      </x:c>
      <x:c r="AD53" s="17" t="n">
        <x:v>0</x:v>
      </x:c>
      <x:c r="AE53" s="12"/>
      <x:c r="AF53" s="12" t="str">
        <x:v>photo_mismatch</x:v>
      </x:c>
      <x:c r="AG53" s="12" t="str">
        <x:v>Ảnh chụp không thể hiện rõ độ dày vải.</x:v>
      </x:c>
      <x:c r="AH53" s="12" t="str">
        <x:v>no</x:v>
      </x:c>
      <x:c r="AI53" s="17"/>
      <x:c r="AJ53" s="17"/>
      <x:c r="AK53" s="17"/>
      <x:c r="AL53" s="17"/>
      <x:c r="AM53" s="17"/>
      <x:c r="AN53" s="17"/>
      <x:c r="AO53" s="17"/>
      <x:c r="AP53" s="17"/>
      <x:c r="AQ53" s="12"/>
      <x:c r="AR53" s="17" t="n">
        <x:v>1</x:v>
      </x:c>
      <x:c r="AS53" s="17" t="n">
        <x:v>0</x:v>
      </x:c>
      <x:c r="AT53" s="17" t="n">
        <x:v>0</x:v>
      </x:c>
      <x:c r="AU53" s="17" t="n">
        <x:v>0</x:v>
      </x:c>
      <x:c r="AV53" s="17" t="n">
        <x:v>0</x:v>
      </x:c>
      <x:c r="AW53" s="17" t="n">
        <x:v>1</x:v>
      </x:c>
      <x:c r="AX53" s="17" t="n">
        <x:v>0</x:v>
      </x:c>
      <x:c r="AY53" s="17" t="n">
        <x:v>1</x:v>
      </x:c>
      <x:c r="AZ53" s="17" t="n">
        <x:v>0</x:v>
      </x:c>
      <x:c r="BA53" s="12"/>
      <x:c r="BB53" s="12" t="str">
        <x:v>prepaid</x:v>
      </x:c>
      <x:c r="BC53" s="12" t="str">
        <x:v>Đã quen thao tác thanh toán trước.</x:v>
      </x:c>
      <x:c r="BD53" s="12" t="str">
        <x:v>depends_on_benefits</x:v>
      </x:c>
      <x:c r="BE53" s="17" t="n">
        <x:v>0</x:v>
      </x:c>
      <x:c r="BF53" s="17" t="n">
        <x:v>0</x:v>
      </x:c>
      <x:c r="BG53" s="17" t="n">
        <x:v>1</x:v>
      </x:c>
      <x:c r="BH53" s="17" t="n">
        <x:v>0</x:v>
      </x:c>
      <x:c r="BI53" s="17" t="n">
        <x:v>0</x:v>
      </x:c>
      <x:c r="BJ53" s="17" t="n">
        <x:v>1</x:v>
      </x:c>
      <x:c r="BK53" s="17" t="n">
        <x:v>1</x:v>
      </x:c>
      <x:c r="BL53" s="12" t="str">
        <x:v>neutral</x:v>
      </x:c>
      <x:c r="BM53" s="12" t="str">
        <x:v>Cho xem ảnh mặt trước, sau và chi tiết đường may.</x:v>
      </x:c>
    </x:row>
    <x:row r="54" ht="64" customHeight="1">
      <x:c r="A54" s="11" t="str">
        <x:v>SYN-PH-049</x:v>
      </x:c>
      <x:c r="B54" s="11" t="str">
        <x:v>SYN</x:v>
      </x:c>
      <x:c r="C54" s="11" t="str">
        <x:v>N5</x:v>
      </x:c>
      <x:c r="D54" s="14" t="n">
        <x:v>10.5</x:v>
      </x:c>
      <x:c r="E54" s="16" t="n">
        <x:v>1</x:v>
      </x:c>
      <x:c r="F54" s="16" t="n">
        <x:v>1</x:v>
      </x:c>
      <x:c r="G54" s="11" t="str">
        <x:v>valid</x:v>
      </x:c>
      <x:c r="H54" s="11"/>
      <x:c r="I54" s="11"/>
      <x:c r="J54" s="11" t="str">
        <x:v>yes</x:v>
      </x:c>
      <x:c r="K54" s="11" t="str">
        <x:v>age_25_34</x:v>
      </x:c>
      <x:c r="L54" s="11" t="str">
        <x:v>yes</x:v>
      </x:c>
      <x:c r="M54" s="11" t="str">
        <x:v>hcm</x:v>
      </x:c>
      <x:c r="N54" s="11" t="str">
        <x:v>weekly</x:v>
      </x:c>
      <x:c r="O54" s="16" t="n">
        <x:v>1</x:v>
      </x:c>
      <x:c r="P54" s="16" t="n">
        <x:v>1</x:v>
      </x:c>
      <x:c r="Q54" s="16" t="n">
        <x:v>1</x:v>
      </x:c>
      <x:c r="R54" s="16" t="n">
        <x:v>0</x:v>
      </x:c>
      <x:c r="S54" s="16" t="n">
        <x:v>0</x:v>
      </x:c>
      <x:c r="T54" s="11"/>
      <x:c r="U54" s="11" t="str">
        <x:v>v300k_499k</x:v>
      </x:c>
      <x:c r="V54" s="16" t="n">
        <x:v>1</x:v>
      </x:c>
      <x:c r="W54" s="16" t="n">
        <x:v>0</x:v>
      </x:c>
      <x:c r="X54" s="16" t="n">
        <x:v>0</x:v>
      </x:c>
      <x:c r="Y54" s="16" t="n">
        <x:v>1</x:v>
      </x:c>
      <x:c r="Z54" s="16" t="n">
        <x:v>1</x:v>
      </x:c>
      <x:c r="AA54" s="16" t="n">
        <x:v>0</x:v>
      </x:c>
      <x:c r="AB54" s="16" t="n">
        <x:v>0</x:v>
      </x:c>
      <x:c r="AC54" s="16" t="n">
        <x:v>0</x:v>
      </x:c>
      <x:c r="AD54" s="16" t="n">
        <x:v>0</x:v>
      </x:c>
      <x:c r="AE54" s="11"/>
      <x:c r="AF54" s="11" t="str">
        <x:v>size_uncertain</x:v>
      </x:c>
      <x:c r="AG54" s="11" t="str">
        <x:v>Không có số đo vai và chiều dài để chọn size.</x:v>
      </x:c>
      <x:c r="AH54" s="11" t="str">
        <x:v>yes</x:v>
      </x:c>
      <x:c r="AI54" s="16" t="n">
        <x:v>1</x:v>
      </x:c>
      <x:c r="AJ54" s="16" t="n">
        <x:v>1</x:v>
      </x:c>
      <x:c r="AK54" s="16" t="n">
        <x:v>1</x:v>
      </x:c>
      <x:c r="AL54" s="16" t="n">
        <x:v>0</x:v>
      </x:c>
      <x:c r="AM54" s="16" t="n">
        <x:v>0</x:v>
      </x:c>
      <x:c r="AN54" s="16" t="n">
        <x:v>0</x:v>
      </x:c>
      <x:c r="AO54" s="16" t="n">
        <x:v>0</x:v>
      </x:c>
      <x:c r="AP54" s="16" t="n">
        <x:v>0</x:v>
      </x:c>
      <x:c r="AQ54" s="11"/>
      <x:c r="AR54" s="16" t="n">
        <x:v>0</x:v>
      </x:c>
      <x:c r="AS54" s="16" t="n">
        <x:v>0</x:v>
      </x:c>
      <x:c r="AT54" s="16" t="n">
        <x:v>0</x:v>
      </x:c>
      <x:c r="AU54" s="16" t="n">
        <x:v>0</x:v>
      </x:c>
      <x:c r="AV54" s="16" t="n">
        <x:v>1</x:v>
      </x:c>
      <x:c r="AW54" s="16" t="n">
        <x:v>0</x:v>
      </x:c>
      <x:c r="AX54" s="16" t="n">
        <x:v>0</x:v>
      </x:c>
      <x:c r="AY54" s="16" t="n">
        <x:v>0</x:v>
      </x:c>
      <x:c r="AZ54" s="16" t="n">
        <x:v>0</x:v>
      </x:c>
      <x:c r="BA54" s="11"/>
      <x:c r="BB54" s="11" t="str">
        <x:v>prepaid</x:v>
      </x:c>
      <x:c r="BC54" s="11" t="str">
        <x:v>Tiện cho người nhận không cần chuẩn bị tiền.</x:v>
      </x:c>
      <x:c r="BD54" s="11" t="str">
        <x:v>guest</x:v>
      </x:c>
      <x:c r="BE54" s="16" t="n">
        <x:v>1</x:v>
      </x:c>
      <x:c r="BF54" s="16" t="n">
        <x:v>1</x:v>
      </x:c>
      <x:c r="BG54" s="16" t="n">
        <x:v>1</x:v>
      </x:c>
      <x:c r="BH54" s="16" t="n">
        <x:v>1</x:v>
      </x:c>
      <x:c r="BI54" s="16" t="n">
        <x:v>1</x:v>
      </x:c>
      <x:c r="BJ54" s="16" t="n">
        <x:v>1</x:v>
      </x:c>
      <x:c r="BK54" s="16" t="n">
        <x:v>1</x:v>
      </x:c>
      <x:c r="BL54" s="11" t="str">
        <x:v>fairly_willing</x:v>
      </x:c>
      <x:c r="BM54" s="11" t="str">
        <x:v>So sánh size giữa các mẫu quần áo.</x:v>
      </x:c>
    </x:row>
    <x:row r="55" ht="64" customHeight="1">
      <x:c r="A55" s="12" t="str">
        <x:v>SYN-PH-050</x:v>
      </x:c>
      <x:c r="B55" s="12" t="str">
        <x:v>SYN</x:v>
      </x:c>
      <x:c r="C55" s="12" t="str">
        <x:v>N5</x:v>
      </x:c>
      <x:c r="D55" s="15" t="n">
        <x:v>11.9</x:v>
      </x:c>
      <x:c r="E55" s="17" t="n">
        <x:v>1</x:v>
      </x:c>
      <x:c r="F55" s="17" t="n">
        <x:v>1</x:v>
      </x:c>
      <x:c r="G55" s="12" t="str">
        <x:v>valid</x:v>
      </x:c>
      <x:c r="H55" s="12"/>
      <x:c r="I55" s="12"/>
      <x:c r="J55" s="12" t="str">
        <x:v>yes</x:v>
      </x:c>
      <x:c r="K55" s="12" t="str">
        <x:v>age_18_24</x:v>
      </x:c>
      <x:c r="L55" s="12" t="str">
        <x:v>yes</x:v>
      </x:c>
      <x:c r="M55" s="12" t="str">
        <x:v>hcm</x:v>
      </x:c>
      <x:c r="N55" s="12" t="str">
        <x:v>every_2_3_months</x:v>
      </x:c>
      <x:c r="O55" s="17" t="n">
        <x:v>1</x:v>
      </x:c>
      <x:c r="P55" s="17" t="n">
        <x:v>0</x:v>
      </x:c>
      <x:c r="Q55" s="17" t="n">
        <x:v>0</x:v>
      </x:c>
      <x:c r="R55" s="17" t="n">
        <x:v>0</x:v>
      </x:c>
      <x:c r="S55" s="17" t="n">
        <x:v>0</x:v>
      </x:c>
      <x:c r="T55" s="12"/>
      <x:c r="U55" s="12" t="str">
        <x:v>v300k_499k</x:v>
      </x:c>
      <x:c r="V55" s="17" t="n">
        <x:v>1</x:v>
      </x:c>
      <x:c r="W55" s="17" t="n">
        <x:v>0</x:v>
      </x:c>
      <x:c r="X55" s="17" t="n">
        <x:v>0</x:v>
      </x:c>
      <x:c r="Y55" s="17" t="n">
        <x:v>0</x:v>
      </x:c>
      <x:c r="Z55" s="17" t="n">
        <x:v>0</x:v>
      </x:c>
      <x:c r="AA55" s="17" t="n">
        <x:v>0</x:v>
      </x:c>
      <x:c r="AB55" s="17" t="n">
        <x:v>0</x:v>
      </x:c>
      <x:c r="AC55" s="17" t="n">
        <x:v>0</x:v>
      </x:c>
      <x:c r="AD55" s="17" t="n">
        <x:v>0</x:v>
      </x:c>
      <x:c r="AE55" s="12"/>
      <x:c r="AF55" s="12" t="str">
        <x:v>size_uncertain</x:v>
      </x:c>
      <x:c r="AG55" s="12" t="str">
        <x:v>Không có số đo vai và chiều dài để chọn size.</x:v>
      </x:c>
      <x:c r="AH55" s="12" t="str">
        <x:v>no</x:v>
      </x:c>
      <x:c r="AI55" s="17"/>
      <x:c r="AJ55" s="17"/>
      <x:c r="AK55" s="17"/>
      <x:c r="AL55" s="17"/>
      <x:c r="AM55" s="17"/>
      <x:c r="AN55" s="17"/>
      <x:c r="AO55" s="17"/>
      <x:c r="AP55" s="17"/>
      <x:c r="AQ55" s="12"/>
      <x:c r="AR55" s="17" t="n">
        <x:v>1</x:v>
      </x:c>
      <x:c r="AS55" s="17" t="n">
        <x:v>0</x:v>
      </x:c>
      <x:c r="AT55" s="17" t="n">
        <x:v>0</x:v>
      </x:c>
      <x:c r="AU55" s="17" t="n">
        <x:v>1</x:v>
      </x:c>
      <x:c r="AV55" s="17" t="n">
        <x:v>1</x:v>
      </x:c>
      <x:c r="AW55" s="17" t="n">
        <x:v>0</x:v>
      </x:c>
      <x:c r="AX55" s="17" t="n">
        <x:v>0</x:v>
      </x:c>
      <x:c r="AY55" s="17" t="n">
        <x:v>0</x:v>
      </x:c>
      <x:c r="AZ55" s="17" t="n">
        <x:v>0</x:v>
      </x:c>
      <x:c r="BA55" s="12"/>
      <x:c r="BB55" s="12" t="str">
        <x:v>cod</x:v>
      </x:c>
      <x:c r="BC55" s="12" t="str">
        <x:v>Muốn nhận hàng rồi mới thanh toán.</x:v>
      </x:c>
      <x:c r="BD55" s="12" t="str">
        <x:v>depends_on_benefits</x:v>
      </x:c>
      <x:c r="BE55" s="17" t="n">
        <x:v>1</x:v>
      </x:c>
      <x:c r="BF55" s="17" t="n">
        <x:v>0</x:v>
      </x:c>
      <x:c r="BG55" s="17" t="n">
        <x:v>1</x:v>
      </x:c>
      <x:c r="BH55" s="17" t="n">
        <x:v>1</x:v>
      </x:c>
      <x:c r="BI55" s="17" t="n">
        <x:v>1</x:v>
      </x:c>
      <x:c r="BJ55" s="17" t="n">
        <x:v>0</x:v>
      </x:c>
      <x:c r="BK55" s="17" t="n">
        <x:v>0</x:v>
      </x:c>
      <x:c r="BL55" s="12" t="str">
        <x:v>very_willing</x:v>
      </x:c>
      <x:c r="BM55" s="12" t="str">
        <x:v>Ghi rõ phom áo và số đo người mẫu.</x:v>
      </x:c>
    </x:row>
    <x:row r="56" ht="64" customHeight="1">
      <x:c r="A56" s="11" t="str">
        <x:v>SYN-PH-051</x:v>
      </x:c>
      <x:c r="B56" s="11" t="str">
        <x:v>SYN</x:v>
      </x:c>
      <x:c r="C56" s="11" t="str">
        <x:v>N5</x:v>
      </x:c>
      <x:c r="D56" s="14" t="n">
        <x:v>6.5</x:v>
      </x:c>
      <x:c r="E56" s="16" t="n">
        <x:v>1</x:v>
      </x:c>
      <x:c r="F56" s="16" t="n">
        <x:v>1</x:v>
      </x:c>
      <x:c r="G56" s="11" t="str">
        <x:v>valid</x:v>
      </x:c>
      <x:c r="H56" s="11"/>
      <x:c r="I56" s="11"/>
      <x:c r="J56" s="11" t="str">
        <x:v>yes</x:v>
      </x:c>
      <x:c r="K56" s="11" t="str">
        <x:v>age_35_44</x:v>
      </x:c>
      <x:c r="L56" s="11" t="str">
        <x:v>yes</x:v>
      </x:c>
      <x:c r="M56" s="11" t="str">
        <x:v>hcm</x:v>
      </x:c>
      <x:c r="N56" s="11" t="str">
        <x:v>less_often</x:v>
      </x:c>
      <x:c r="O56" s="16" t="n">
        <x:v>1</x:v>
      </x:c>
      <x:c r="P56" s="16" t="n">
        <x:v>1</x:v>
      </x:c>
      <x:c r="Q56" s="16" t="n">
        <x:v>1</x:v>
      </x:c>
      <x:c r="R56" s="16" t="n">
        <x:v>1</x:v>
      </x:c>
      <x:c r="S56" s="16" t="n">
        <x:v>0</x:v>
      </x:c>
      <x:c r="T56" s="11"/>
      <x:c r="U56" s="11" t="str">
        <x:v>v500k_799k</x:v>
      </x:c>
      <x:c r="V56" s="16" t="n">
        <x:v>0</x:v>
      </x:c>
      <x:c r="W56" s="16" t="n">
        <x:v>1</x:v>
      </x:c>
      <x:c r="X56" s="16" t="n">
        <x:v>1</x:v>
      </x:c>
      <x:c r="Y56" s="16" t="n">
        <x:v>0</x:v>
      </x:c>
      <x:c r="Z56" s="16" t="n">
        <x:v>0</x:v>
      </x:c>
      <x:c r="AA56" s="16" t="n">
        <x:v>0</x:v>
      </x:c>
      <x:c r="AB56" s="16" t="n">
        <x:v>1</x:v>
      </x:c>
      <x:c r="AC56" s="16" t="n">
        <x:v>0</x:v>
      </x:c>
      <x:c r="AD56" s="16" t="n">
        <x:v>0</x:v>
      </x:c>
      <x:c r="AE56" s="11"/>
      <x:c r="AF56" s="11" t="str">
        <x:v>returns_unclear</x:v>
      </x:c>
      <x:c r="AG56" s="11" t="str">
        <x:v>Chính sách đổi hàng không nêu trường hợp mặc thử.</x:v>
      </x:c>
      <x:c r="AH56" s="11" t="str">
        <x:v>cannot_recall</x:v>
      </x:c>
      <x:c r="AI56" s="16"/>
      <x:c r="AJ56" s="16"/>
      <x:c r="AK56" s="16"/>
      <x:c r="AL56" s="16"/>
      <x:c r="AM56" s="16"/>
      <x:c r="AN56" s="16"/>
      <x:c r="AO56" s="16"/>
      <x:c r="AP56" s="16"/>
      <x:c r="AQ56" s="11"/>
      <x:c r="AR56" s="16" t="n">
        <x:v>1</x:v>
      </x:c>
      <x:c r="AS56" s="16" t="n">
        <x:v>1</x:v>
      </x:c>
      <x:c r="AT56" s="16" t="n">
        <x:v>0</x:v>
      </x:c>
      <x:c r="AU56" s="16" t="n">
        <x:v>0</x:v>
      </x:c>
      <x:c r="AV56" s="16" t="n">
        <x:v>0</x:v>
      </x:c>
      <x:c r="AW56" s="16" t="n">
        <x:v>1</x:v>
      </x:c>
      <x:c r="AX56" s="16" t="n">
        <x:v>0</x:v>
      </x:c>
      <x:c r="AY56" s="16" t="n">
        <x:v>0</x:v>
      </x:c>
      <x:c r="AZ56" s="16" t="n">
        <x:v>0</x:v>
      </x:c>
      <x:c r="BA56" s="11"/>
      <x:c r="BB56" s="11" t="str">
        <x:v>cod</x:v>
      </x:c>
      <x:c r="BC56" s="11" t="str">
        <x:v>Quen thanh toán lúc giao hàng.</x:v>
      </x:c>
      <x:c r="BD56" s="11" t="str">
        <x:v>guest</x:v>
      </x:c>
      <x:c r="BE56" s="16" t="n">
        <x:v>1</x:v>
      </x:c>
      <x:c r="BF56" s="16" t="n">
        <x:v>0</x:v>
      </x:c>
      <x:c r="BG56" s="16" t="n">
        <x:v>1</x:v>
      </x:c>
      <x:c r="BH56" s="16" t="n">
        <x:v>1</x:v>
      </x:c>
      <x:c r="BI56" s="16" t="n">
        <x:v>0</x:v>
      </x:c>
      <x:c r="BJ56" s="16" t="n">
        <x:v>1</x:v>
      </x:c>
      <x:c r="BK56" s="16" t="n">
        <x:v>1</x:v>
      </x:c>
      <x:c r="BL56" s="11" t="str">
        <x:v>fairly_willing</x:v>
      </x:c>
      <x:c r="BM56" s="11" t="str">
        <x:v>Giải thích các bước đổi hàng và phí phát sinh.</x:v>
      </x:c>
    </x:row>
    <x:row r="57" ht="64" customHeight="1">
      <x:c r="A57" s="12" t="str">
        <x:v>SYN-PH-052</x:v>
      </x:c>
      <x:c r="B57" s="12" t="str">
        <x:v>SYN</x:v>
      </x:c>
      <x:c r="C57" s="12" t="str">
        <x:v>N5</x:v>
      </x:c>
      <x:c r="D57" s="15" t="n">
        <x:v>0.7</x:v>
      </x:c>
      <x:c r="E57" s="17" t="n">
        <x:v>0</x:v>
      </x:c>
      <x:c r="F57" s="17" t="n">
        <x:v>0</x:v>
      </x:c>
      <x:c r="G57" s="12" t="str">
        <x:v>excluded</x:v>
      </x:c>
      <x:c r="H57" s="12" t="str">
        <x:v>no_consent</x:v>
      </x:c>
      <x:c r="I57" s="12"/>
      <x:c r="J57" s="12" t="str">
        <x:v>no</x:v>
      </x:c>
      <x:c r="K57" s="12"/>
      <x:c r="L57" s="12"/>
      <x:c r="M57" s="12"/>
      <x:c r="N57" s="12"/>
      <x:c r="O57" s="17"/>
      <x:c r="P57" s="17"/>
      <x:c r="Q57" s="17"/>
      <x:c r="R57" s="17"/>
      <x:c r="S57" s="17"/>
      <x:c r="T57" s="12"/>
      <x:c r="U57" s="12"/>
      <x:c r="V57" s="17"/>
      <x:c r="W57" s="17"/>
      <x:c r="X57" s="17"/>
      <x:c r="Y57" s="17"/>
      <x:c r="Z57" s="17"/>
      <x:c r="AA57" s="17"/>
      <x:c r="AB57" s="17"/>
      <x:c r="AC57" s="17"/>
      <x:c r="AD57" s="17"/>
      <x:c r="AE57" s="12"/>
      <x:c r="AF57" s="12"/>
      <x:c r="AG57" s="12"/>
      <x:c r="AH57" s="12"/>
      <x:c r="AI57" s="17"/>
      <x:c r="AJ57" s="17"/>
      <x:c r="AK57" s="17"/>
      <x:c r="AL57" s="17"/>
      <x:c r="AM57" s="17"/>
      <x:c r="AN57" s="17"/>
      <x:c r="AO57" s="17"/>
      <x:c r="AP57" s="17"/>
      <x:c r="AQ57" s="12"/>
      <x:c r="AR57" s="17"/>
      <x:c r="AS57" s="17"/>
      <x:c r="AT57" s="17"/>
      <x:c r="AU57" s="17"/>
      <x:c r="AV57" s="17"/>
      <x:c r="AW57" s="17"/>
      <x:c r="AX57" s="17"/>
      <x:c r="AY57" s="17"/>
      <x:c r="AZ57" s="17"/>
      <x:c r="BA57" s="12"/>
      <x:c r="BB57" s="12"/>
      <x:c r="BC57" s="12"/>
      <x:c r="BD57" s="12"/>
      <x:c r="BE57" s="17"/>
      <x:c r="BF57" s="17"/>
      <x:c r="BG57" s="17"/>
      <x:c r="BH57" s="17"/>
      <x:c r="BI57" s="17"/>
      <x:c r="BJ57" s="17"/>
      <x:c r="BK57" s="17"/>
      <x:c r="BL57" s="12"/>
      <x:c r="BM57" s="12"/>
    </x:row>
    <x:row r="58" ht="64" customHeight="1">
      <x:c r="A58" s="11" t="str">
        <x:v>SYN-PH-053</x:v>
      </x:c>
      <x:c r="B58" s="11" t="str">
        <x:v>SYN</x:v>
      </x:c>
      <x:c r="C58" s="11" t="str">
        <x:v>N5</x:v>
      </x:c>
      <x:c r="D58" s="14" t="n">
        <x:v>7.4</x:v>
      </x:c>
      <x:c r="E58" s="16" t="n">
        <x:v>1</x:v>
      </x:c>
      <x:c r="F58" s="16" t="n">
        <x:v>1</x:v>
      </x:c>
      <x:c r="G58" s="11" t="str">
        <x:v>valid</x:v>
      </x:c>
      <x:c r="H58" s="11"/>
      <x:c r="I58" s="11"/>
      <x:c r="J58" s="11" t="str">
        <x:v>yes</x:v>
      </x:c>
      <x:c r="K58" s="11" t="str">
        <x:v>age_35_44</x:v>
      </x:c>
      <x:c r="L58" s="11" t="str">
        <x:v>yes</x:v>
      </x:c>
      <x:c r="M58" s="11" t="str">
        <x:v>hcm</x:v>
      </x:c>
      <x:c r="N58" s="11" t="str">
        <x:v>monthly_2_3</x:v>
      </x:c>
      <x:c r="O58" s="16" t="n">
        <x:v>1</x:v>
      </x:c>
      <x:c r="P58" s="16" t="n">
        <x:v>0</x:v>
      </x:c>
      <x:c r="Q58" s="16" t="n">
        <x:v>0</x:v>
      </x:c>
      <x:c r="R58" s="16" t="n">
        <x:v>1</x:v>
      </x:c>
      <x:c r="S58" s="16" t="n">
        <x:v>0</x:v>
      </x:c>
      <x:c r="T58" s="11"/>
      <x:c r="U58" s="11" t="str">
        <x:v>under_300k</x:v>
      </x:c>
      <x:c r="V58" s="16" t="n">
        <x:v>1</x:v>
      </x:c>
      <x:c r="W58" s="16" t="n">
        <x:v>1</x:v>
      </x:c>
      <x:c r="X58" s="16" t="n">
        <x:v>1</x:v>
      </x:c>
      <x:c r="Y58" s="16" t="n">
        <x:v>1</x:v>
      </x:c>
      <x:c r="Z58" s="16" t="n">
        <x:v>1</x:v>
      </x:c>
      <x:c r="AA58" s="16" t="n">
        <x:v>0</x:v>
      </x:c>
      <x:c r="AB58" s="16" t="n">
        <x:v>1</x:v>
      </x:c>
      <x:c r="AC58" s="16" t="n">
        <x:v>0</x:v>
      </x:c>
      <x:c r="AD58" s="16" t="n">
        <x:v>0</x:v>
      </x:c>
      <x:c r="AE58" s="11"/>
      <x:c r="AF58" s="11" t="str">
        <x:v>payment_concern</x:v>
      </x:c>
      <x:c r="AG58" s="11" t="str">
        <x:v>Muốn biết cách xử lý khi đã trả tiền nhưng chưa thấy đơn.</x:v>
      </x:c>
      <x:c r="AH58" s="11" t="str">
        <x:v>yes</x:v>
      </x:c>
      <x:c r="AI58" s="16" t="n">
        <x:v>0</x:v>
      </x:c>
      <x:c r="AJ58" s="16" t="n">
        <x:v>0</x:v>
      </x:c>
      <x:c r="AK58" s="16" t="n">
        <x:v>1</x:v>
      </x:c>
      <x:c r="AL58" s="16" t="n">
        <x:v>0</x:v>
      </x:c>
      <x:c r="AM58" s="16" t="n">
        <x:v>0</x:v>
      </x:c>
      <x:c r="AN58" s="16" t="n">
        <x:v>0</x:v>
      </x:c>
      <x:c r="AO58" s="16" t="n">
        <x:v>0</x:v>
      </x:c>
      <x:c r="AP58" s="16" t="n">
        <x:v>0</x:v>
      </x:c>
      <x:c r="AQ58" s="11"/>
      <x:c r="AR58" s="16" t="n">
        <x:v>1</x:v>
      </x:c>
      <x:c r="AS58" s="16" t="n">
        <x:v>0</x:v>
      </x:c>
      <x:c r="AT58" s="16" t="n">
        <x:v>0</x:v>
      </x:c>
      <x:c r="AU58" s="16" t="n">
        <x:v>1</x:v>
      </x:c>
      <x:c r="AV58" s="16" t="n">
        <x:v>0</x:v>
      </x:c>
      <x:c r="AW58" s="16" t="n">
        <x:v>0</x:v>
      </x:c>
      <x:c r="AX58" s="16" t="n">
        <x:v>0</x:v>
      </x:c>
      <x:c r="AY58" s="16" t="n">
        <x:v>1</x:v>
      </x:c>
      <x:c r="AZ58" s="16" t="n">
        <x:v>0</x:v>
      </x:c>
      <x:c r="BA58" s="11"/>
      <x:c r="BB58" s="11" t="str">
        <x:v>cod</x:v>
      </x:c>
      <x:c r="BC58" s="11" t="str">
        <x:v>Quen thanh toán lúc giao hàng.</x:v>
      </x:c>
      <x:c r="BD58" s="11" t="str">
        <x:v>depends_on_benefits</x:v>
      </x:c>
      <x:c r="BE58" s="16" t="n">
        <x:v>1</x:v>
      </x:c>
      <x:c r="BF58" s="16" t="n">
        <x:v>0</x:v>
      </x:c>
      <x:c r="BG58" s="16" t="n">
        <x:v>0</x:v>
      </x:c>
      <x:c r="BH58" s="16" t="n">
        <x:v>1</x:v>
      </x:c>
      <x:c r="BI58" s="16" t="n">
        <x:v>1</x:v>
      </x:c>
      <x:c r="BJ58" s="16" t="n">
        <x:v>1</x:v>
      </x:c>
      <x:c r="BK58" s="16" t="n">
        <x:v>1</x:v>
      </x:c>
      <x:c r="BL58" s="11" t="str">
        <x:v>fairly_willing</x:v>
      </x:c>
      <x:c r="BM58" s="11" t="str">
        <x:v>Có xác nhận rõ kết quả thanh toán và hướng dẫn khi lỗi.</x:v>
      </x:c>
    </x:row>
    <x:row r="59" ht="64" customHeight="1">
      <x:c r="A59" s="12" t="str">
        <x:v>SYN-PH-054</x:v>
      </x:c>
      <x:c r="B59" s="12" t="str">
        <x:v>SYN</x:v>
      </x:c>
      <x:c r="C59" s="12" t="str">
        <x:v>N5</x:v>
      </x:c>
      <x:c r="D59" s="15" t="n">
        <x:v>6.7</x:v>
      </x:c>
      <x:c r="E59" s="17" t="n">
        <x:v>1</x:v>
      </x:c>
      <x:c r="F59" s="17" t="n">
        <x:v>1</x:v>
      </x:c>
      <x:c r="G59" s="12" t="str">
        <x:v>valid</x:v>
      </x:c>
      <x:c r="H59" s="12"/>
      <x:c r="I59" s="12"/>
      <x:c r="J59" s="12" t="str">
        <x:v>yes</x:v>
      </x:c>
      <x:c r="K59" s="12" t="str">
        <x:v>age_25_34</x:v>
      </x:c>
      <x:c r="L59" s="12" t="str">
        <x:v>yes</x:v>
      </x:c>
      <x:c r="M59" s="12" t="str">
        <x:v>danang</x:v>
      </x:c>
      <x:c r="N59" s="12" t="str">
        <x:v>monthly_2_3</x:v>
      </x:c>
      <x:c r="O59" s="17" t="n">
        <x:v>1</x:v>
      </x:c>
      <x:c r="P59" s="17" t="n">
        <x:v>1</x:v>
      </x:c>
      <x:c r="Q59" s="17" t="n">
        <x:v>0</x:v>
      </x:c>
      <x:c r="R59" s="17" t="n">
        <x:v>0</x:v>
      </x:c>
      <x:c r="S59" s="17" t="n">
        <x:v>0</x:v>
      </x:c>
      <x:c r="T59" s="12"/>
      <x:c r="U59" s="12" t="str">
        <x:v>v800k_1199k</x:v>
      </x:c>
      <x:c r="V59" s="17" t="n">
        <x:v>1</x:v>
      </x:c>
      <x:c r="W59" s="17" t="n">
        <x:v>1</x:v>
      </x:c>
      <x:c r="X59" s="17" t="n">
        <x:v>0</x:v>
      </x:c>
      <x:c r="Y59" s="17" t="n">
        <x:v>0</x:v>
      </x:c>
      <x:c r="Z59" s="17" t="n">
        <x:v>1</x:v>
      </x:c>
      <x:c r="AA59" s="17" t="n">
        <x:v>0</x:v>
      </x:c>
      <x:c r="AB59" s="17" t="n">
        <x:v>1</x:v>
      </x:c>
      <x:c r="AC59" s="17" t="n">
        <x:v>0</x:v>
      </x:c>
      <x:c r="AD59" s="17" t="n">
        <x:v>0</x:v>
      </x:c>
      <x:c r="AE59" s="12"/>
      <x:c r="AF59" s="12" t="str">
        <x:v>payment_concern</x:v>
      </x:c>
      <x:c r="AG59" s="12" t="str">
        <x:v>Muốn biết cách xử lý khi đã trả tiền nhưng chưa thấy đơn.</x:v>
      </x:c>
      <x:c r="AH59" s="12" t="str">
        <x:v>yes</x:v>
      </x:c>
      <x:c r="AI59" s="17" t="n">
        <x:v>0</x:v>
      </x:c>
      <x:c r="AJ59" s="17" t="n">
        <x:v>1</x:v>
      </x:c>
      <x:c r="AK59" s="17" t="n">
        <x:v>0</x:v>
      </x:c>
      <x:c r="AL59" s="17" t="n">
        <x:v>0</x:v>
      </x:c>
      <x:c r="AM59" s="17" t="n">
        <x:v>0</x:v>
      </x:c>
      <x:c r="AN59" s="17" t="n">
        <x:v>0</x:v>
      </x:c>
      <x:c r="AO59" s="17" t="n">
        <x:v>0</x:v>
      </x:c>
      <x:c r="AP59" s="17" t="n">
        <x:v>0</x:v>
      </x:c>
      <x:c r="AQ59" s="12"/>
      <x:c r="AR59" s="17" t="n">
        <x:v>0</x:v>
      </x:c>
      <x:c r="AS59" s="17" t="n">
        <x:v>0</x:v>
      </x:c>
      <x:c r="AT59" s="17" t="n">
        <x:v>0</x:v>
      </x:c>
      <x:c r="AU59" s="17" t="n">
        <x:v>0</x:v>
      </x:c>
      <x:c r="AV59" s="17" t="n">
        <x:v>0</x:v>
      </x:c>
      <x:c r="AW59" s="17" t="n">
        <x:v>1</x:v>
      </x:c>
      <x:c r="AX59" s="17" t="n">
        <x:v>0</x:v>
      </x:c>
      <x:c r="AY59" s="17" t="n">
        <x:v>1</x:v>
      </x:c>
      <x:c r="AZ59" s="17" t="n">
        <x:v>0</x:v>
      </x:c>
      <x:c r="BA59" s="12"/>
      <x:c r="BB59" s="12" t="str">
        <x:v>cod</x:v>
      </x:c>
      <x:c r="BC59" s="12" t="str">
        <x:v>Thuận tiện với cách nhận hàng gần đây.</x:v>
      </x:c>
      <x:c r="BD59" s="12" t="str">
        <x:v>guest</x:v>
      </x:c>
      <x:c r="BE59" s="17" t="n">
        <x:v>1</x:v>
      </x:c>
      <x:c r="BF59" s="17" t="n">
        <x:v>1</x:v>
      </x:c>
      <x:c r="BG59" s="17" t="n">
        <x:v>1</x:v>
      </x:c>
      <x:c r="BH59" s="17" t="n">
        <x:v>1</x:v>
      </x:c>
      <x:c r="BI59" s="17" t="n">
        <x:v>1</x:v>
      </x:c>
      <x:c r="BJ59" s="17" t="n">
        <x:v>1</x:v>
      </x:c>
      <x:c r="BK59" s="17" t="n">
        <x:v>1</x:v>
      </x:c>
      <x:c r="BL59" s="12" t="str">
        <x:v>neutral</x:v>
      </x:c>
      <x:c r="BM59" s="12" t="str">
        <x:v>Có xác nhận rõ kết quả thanh toán và hướng dẫn khi lỗi.</x:v>
      </x:c>
    </x:row>
    <x:row r="60" ht="64" customHeight="1">
      <x:c r="A60" s="11" t="str">
        <x:v>SYN-PH-055</x:v>
      </x:c>
      <x:c r="B60" s="11" t="str">
        <x:v>SYN</x:v>
      </x:c>
      <x:c r="C60" s="11" t="str">
        <x:v>N5</x:v>
      </x:c>
      <x:c r="D60" s="14" t="n">
        <x:v>9.9</x:v>
      </x:c>
      <x:c r="E60" s="16" t="n">
        <x:v>1</x:v>
      </x:c>
      <x:c r="F60" s="16" t="n">
        <x:v>1</x:v>
      </x:c>
      <x:c r="G60" s="11" t="str">
        <x:v>excluded</x:v>
      </x:c>
      <x:c r="H60" s="11" t="str">
        <x:v>duplicate</x:v>
      </x:c>
      <x:c r="I60" s="11" t="str">
        <x:v>SYN-PH-054</x:v>
      </x:c>
      <x:c r="J60" s="11" t="str">
        <x:v>yes</x:v>
      </x:c>
      <x:c r="K60" s="11" t="str">
        <x:v>age_25_34</x:v>
      </x:c>
      <x:c r="L60" s="11" t="str">
        <x:v>yes</x:v>
      </x:c>
      <x:c r="M60" s="11" t="str">
        <x:v>danang</x:v>
      </x:c>
      <x:c r="N60" s="11" t="str">
        <x:v>monthly_2_3</x:v>
      </x:c>
      <x:c r="O60" s="16" t="n">
        <x:v>1</x:v>
      </x:c>
      <x:c r="P60" s="16" t="n">
        <x:v>1</x:v>
      </x:c>
      <x:c r="Q60" s="16" t="n">
        <x:v>0</x:v>
      </x:c>
      <x:c r="R60" s="16" t="n">
        <x:v>0</x:v>
      </x:c>
      <x:c r="S60" s="16" t="n">
        <x:v>0</x:v>
      </x:c>
      <x:c r="T60" s="11"/>
      <x:c r="U60" s="11" t="str">
        <x:v>v800k_1199k</x:v>
      </x:c>
      <x:c r="V60" s="16" t="n">
        <x:v>1</x:v>
      </x:c>
      <x:c r="W60" s="16" t="n">
        <x:v>1</x:v>
      </x:c>
      <x:c r="X60" s="16" t="n">
        <x:v>0</x:v>
      </x:c>
      <x:c r="Y60" s="16" t="n">
        <x:v>0</x:v>
      </x:c>
      <x:c r="Z60" s="16" t="n">
        <x:v>1</x:v>
      </x:c>
      <x:c r="AA60" s="16" t="n">
        <x:v>0</x:v>
      </x:c>
      <x:c r="AB60" s="16" t="n">
        <x:v>1</x:v>
      </x:c>
      <x:c r="AC60" s="16" t="n">
        <x:v>0</x:v>
      </x:c>
      <x:c r="AD60" s="16" t="n">
        <x:v>0</x:v>
      </x:c>
      <x:c r="AE60" s="11"/>
      <x:c r="AF60" s="11" t="str">
        <x:v>payment_concern</x:v>
      </x:c>
      <x:c r="AG60" s="11" t="str">
        <x:v>Muốn biết cách xử lý khi đã trả tiền nhưng chưa thấy đơn.</x:v>
      </x:c>
      <x:c r="AH60" s="11" t="str">
        <x:v>yes</x:v>
      </x:c>
      <x:c r="AI60" s="16" t="n">
        <x:v>0</x:v>
      </x:c>
      <x:c r="AJ60" s="16" t="n">
        <x:v>1</x:v>
      </x:c>
      <x:c r="AK60" s="16" t="n">
        <x:v>0</x:v>
      </x:c>
      <x:c r="AL60" s="16" t="n">
        <x:v>0</x:v>
      </x:c>
      <x:c r="AM60" s="16" t="n">
        <x:v>0</x:v>
      </x:c>
      <x:c r="AN60" s="16" t="n">
        <x:v>0</x:v>
      </x:c>
      <x:c r="AO60" s="16" t="n">
        <x:v>0</x:v>
      </x:c>
      <x:c r="AP60" s="16" t="n">
        <x:v>0</x:v>
      </x:c>
      <x:c r="AQ60" s="11"/>
      <x:c r="AR60" s="16" t="n">
        <x:v>0</x:v>
      </x:c>
      <x:c r="AS60" s="16" t="n">
        <x:v>0</x:v>
      </x:c>
      <x:c r="AT60" s="16" t="n">
        <x:v>0</x:v>
      </x:c>
      <x:c r="AU60" s="16" t="n">
        <x:v>0</x:v>
      </x:c>
      <x:c r="AV60" s="16" t="n">
        <x:v>0</x:v>
      </x:c>
      <x:c r="AW60" s="16" t="n">
        <x:v>1</x:v>
      </x:c>
      <x:c r="AX60" s="16" t="n">
        <x:v>0</x:v>
      </x:c>
      <x:c r="AY60" s="16" t="n">
        <x:v>1</x:v>
      </x:c>
      <x:c r="AZ60" s="16" t="n">
        <x:v>0</x:v>
      </x:c>
      <x:c r="BA60" s="11"/>
      <x:c r="BB60" s="11" t="str">
        <x:v>cod</x:v>
      </x:c>
      <x:c r="BC60" s="11" t="str">
        <x:v>Thuận tiện với cách nhận hàng gần đây.</x:v>
      </x:c>
      <x:c r="BD60" s="11" t="str">
        <x:v>guest</x:v>
      </x:c>
      <x:c r="BE60" s="16" t="n">
        <x:v>1</x:v>
      </x:c>
      <x:c r="BF60" s="16" t="n">
        <x:v>1</x:v>
      </x:c>
      <x:c r="BG60" s="16" t="n">
        <x:v>1</x:v>
      </x:c>
      <x:c r="BH60" s="16" t="n">
        <x:v>1</x:v>
      </x:c>
      <x:c r="BI60" s="16" t="n">
        <x:v>1</x:v>
      </x:c>
      <x:c r="BJ60" s="16" t="n">
        <x:v>1</x:v>
      </x:c>
      <x:c r="BK60" s="16" t="n">
        <x:v>1</x:v>
      </x:c>
      <x:c r="BL60" s="11" t="str">
        <x:v>neutral</x:v>
      </x:c>
      <x:c r="BM60" s="11" t="str">
        <x:v>Có xác nhận rõ kết quả thanh toán và hướng dẫn khi lỗi.</x:v>
      </x:c>
    </x:row>
    <x:row r="61" ht="64" customHeight="1">
      <x:c r="A61" s="12" t="str">
        <x:v>SYN-PH-056</x:v>
      </x:c>
      <x:c r="B61" s="12" t="str">
        <x:v>SYN</x:v>
      </x:c>
      <x:c r="C61" s="12" t="str">
        <x:v>N5</x:v>
      </x:c>
      <x:c r="D61" s="15" t="n">
        <x:v>7.8</x:v>
      </x:c>
      <x:c r="E61" s="17" t="n">
        <x:v>1</x:v>
      </x:c>
      <x:c r="F61" s="17" t="n">
        <x:v>1</x:v>
      </x:c>
      <x:c r="G61" s="12" t="str">
        <x:v>valid</x:v>
      </x:c>
      <x:c r="H61" s="12"/>
      <x:c r="I61" s="12"/>
      <x:c r="J61" s="12" t="str">
        <x:v>yes</x:v>
      </x:c>
      <x:c r="K61" s="12" t="str">
        <x:v>age_25_34</x:v>
      </x:c>
      <x:c r="L61" s="12" t="str">
        <x:v>yes</x:v>
      </x:c>
      <x:c r="M61" s="12" t="str">
        <x:v>other_urban</x:v>
      </x:c>
      <x:c r="N61" s="12" t="str">
        <x:v>every_2_3_months</x:v>
      </x:c>
      <x:c r="O61" s="17" t="n">
        <x:v>1</x:v>
      </x:c>
      <x:c r="P61" s="17" t="n">
        <x:v>1</x:v>
      </x:c>
      <x:c r="Q61" s="17" t="n">
        <x:v>0</x:v>
      </x:c>
      <x:c r="R61" s="17" t="n">
        <x:v>1</x:v>
      </x:c>
      <x:c r="S61" s="17" t="n">
        <x:v>0</x:v>
      </x:c>
      <x:c r="T61" s="12"/>
      <x:c r="U61" s="12" t="str">
        <x:v>v300k_499k</x:v>
      </x:c>
      <x:c r="V61" s="17" t="n">
        <x:v>1</x:v>
      </x:c>
      <x:c r="W61" s="17" t="n">
        <x:v>1</x:v>
      </x:c>
      <x:c r="X61" s="17" t="n">
        <x:v>0</x:v>
      </x:c>
      <x:c r="Y61" s="17" t="n">
        <x:v>0</x:v>
      </x:c>
      <x:c r="Z61" s="17" t="n">
        <x:v>0</x:v>
      </x:c>
      <x:c r="AA61" s="17" t="n">
        <x:v>0</x:v>
      </x:c>
      <x:c r="AB61" s="17" t="n">
        <x:v>0</x:v>
      </x:c>
      <x:c r="AC61" s="17" t="n">
        <x:v>0</x:v>
      </x:c>
      <x:c r="AD61" s="17" t="n">
        <x:v>0</x:v>
      </x:c>
      <x:c r="AE61" s="12"/>
      <x:c r="AF61" s="12" t="str">
        <x:v>size_uncertain</x:v>
      </x:c>
      <x:c r="AG61" s="12" t="str">
        <x:v>Hai mẫu cùng ghi size M nhưng phom mô tả khác nhau.</x:v>
      </x:c>
      <x:c r="AH61" s="12" t="str">
        <x:v>no</x:v>
      </x:c>
      <x:c r="AI61" s="17"/>
      <x:c r="AJ61" s="17"/>
      <x:c r="AK61" s="17"/>
      <x:c r="AL61" s="17"/>
      <x:c r="AM61" s="17"/>
      <x:c r="AN61" s="17"/>
      <x:c r="AO61" s="17"/>
      <x:c r="AP61" s="17"/>
      <x:c r="AQ61" s="12"/>
      <x:c r="AR61" s="17" t="n">
        <x:v>1</x:v>
      </x:c>
      <x:c r="AS61" s="17" t="n">
        <x:v>0</x:v>
      </x:c>
      <x:c r="AT61" s="17" t="n">
        <x:v>1</x:v>
      </x:c>
      <x:c r="AU61" s="17" t="n">
        <x:v>0</x:v>
      </x:c>
      <x:c r="AV61" s="17" t="n">
        <x:v>1</x:v>
      </x:c>
      <x:c r="AW61" s="17" t="n">
        <x:v>0</x:v>
      </x:c>
      <x:c r="AX61" s="17" t="n">
        <x:v>0</x:v>
      </x:c>
      <x:c r="AY61" s="17" t="n">
        <x:v>0</x:v>
      </x:c>
      <x:c r="AZ61" s="17" t="n">
        <x:v>0</x:v>
      </x:c>
      <x:c r="BA61" s="12"/>
      <x:c r="BB61" s="12" t="str">
        <x:v>prepaid</x:v>
      </x:c>
      <x:c r="BC61" s="12" t="str">
        <x:v>Đã quen thao tác thanh toán trước.</x:v>
      </x:c>
      <x:c r="BD61" s="12" t="str">
        <x:v>register_now</x:v>
      </x:c>
      <x:c r="BE61" s="17" t="n">
        <x:v>1</x:v>
      </x:c>
      <x:c r="BF61" s="17" t="n">
        <x:v>0</x:v>
      </x:c>
      <x:c r="BG61" s="17" t="n">
        <x:v>1</x:v>
      </x:c>
      <x:c r="BH61" s="17" t="n">
        <x:v>0</x:v>
      </x:c>
      <x:c r="BI61" s="17" t="n">
        <x:v>1</x:v>
      </x:c>
      <x:c r="BJ61" s="17" t="n">
        <x:v>1</x:v>
      </x:c>
      <x:c r="BK61" s="17" t="n">
        <x:v>1</x:v>
      </x:c>
      <x:c r="BL61" s="12" t="str">
        <x:v>very_willing</x:v>
      </x:c>
      <x:c r="BM61" s="12" t="str">
        <x:v>So sánh size giữa các mẫu quần áo.</x:v>
      </x:c>
    </x:row>
    <x:row r="62" ht="64" customHeight="1">
      <x:c r="A62" s="11" t="str">
        <x:v>SYN-PH-057</x:v>
      </x:c>
      <x:c r="B62" s="11" t="str">
        <x:v>SYN</x:v>
      </x:c>
      <x:c r="C62" s="11" t="str">
        <x:v>N5</x:v>
      </x:c>
      <x:c r="D62" s="14" t="n">
        <x:v>10.3</x:v>
      </x:c>
      <x:c r="E62" s="16" t="n">
        <x:v>1</x:v>
      </x:c>
      <x:c r="F62" s="16" t="n">
        <x:v>1</x:v>
      </x:c>
      <x:c r="G62" s="11" t="str">
        <x:v>valid</x:v>
      </x:c>
      <x:c r="H62" s="11"/>
      <x:c r="I62" s="11"/>
      <x:c r="J62" s="11" t="str">
        <x:v>yes</x:v>
      </x:c>
      <x:c r="K62" s="11" t="str">
        <x:v>age_35_44</x:v>
      </x:c>
      <x:c r="L62" s="11" t="str">
        <x:v>yes</x:v>
      </x:c>
      <x:c r="M62" s="11" t="str">
        <x:v>danang</x:v>
      </x:c>
      <x:c r="N62" s="11" t="str">
        <x:v>less_often</x:v>
      </x:c>
      <x:c r="O62" s="16" t="n">
        <x:v>1</x:v>
      </x:c>
      <x:c r="P62" s="16" t="n">
        <x:v>1</x:v>
      </x:c>
      <x:c r="Q62" s="16" t="n">
        <x:v>0</x:v>
      </x:c>
      <x:c r="R62" s="16" t="n">
        <x:v>1</x:v>
      </x:c>
      <x:c r="S62" s="16" t="n">
        <x:v>0</x:v>
      </x:c>
      <x:c r="T62" s="11"/>
      <x:c r="U62" s="11" t="str">
        <x:v>at_least_1200k</x:v>
      </x:c>
      <x:c r="V62" s="16" t="n">
        <x:v>1</x:v>
      </x:c>
      <x:c r="W62" s="16" t="n">
        <x:v>1</x:v>
      </x:c>
      <x:c r="X62" s="16" t="n">
        <x:v>1</x:v>
      </x:c>
      <x:c r="Y62" s="16" t="n">
        <x:v>0</x:v>
      </x:c>
      <x:c r="Z62" s="16" t="n">
        <x:v>1</x:v>
      </x:c>
      <x:c r="AA62" s="16" t="n">
        <x:v>0</x:v>
      </x:c>
      <x:c r="AB62" s="16" t="n">
        <x:v>1</x:v>
      </x:c>
      <x:c r="AC62" s="16" t="n">
        <x:v>0</x:v>
      </x:c>
      <x:c r="AD62" s="16" t="n">
        <x:v>0</x:v>
      </x:c>
      <x:c r="AE62" s="11"/>
      <x:c r="AF62" s="11" t="str">
        <x:v>photo_mismatch</x:v>
      </x:c>
      <x:c r="AG62" s="11" t="str">
        <x:v>Màu trong ảnh và mô tả thiếu thông tin dưới ánh sáng thường.</x:v>
      </x:c>
      <x:c r="AH62" s="11" t="str">
        <x:v>yes</x:v>
      </x:c>
      <x:c r="AI62" s="16" t="n">
        <x:v>0</x:v>
      </x:c>
      <x:c r="AJ62" s="16" t="n">
        <x:v>1</x:v>
      </x:c>
      <x:c r="AK62" s="16" t="n">
        <x:v>0</x:v>
      </x:c>
      <x:c r="AL62" s="16" t="n">
        <x:v>1</x:v>
      </x:c>
      <x:c r="AM62" s="16" t="n">
        <x:v>1</x:v>
      </x:c>
      <x:c r="AN62" s="16" t="n">
        <x:v>0</x:v>
      </x:c>
      <x:c r="AO62" s="16" t="n">
        <x:v>1</x:v>
      </x:c>
      <x:c r="AP62" s="16" t="n">
        <x:v>1</x:v>
      </x:c>
      <x:c r="AQ62" s="11" t="str">
        <x:v>Cần hỏi lại người nhận về lựa chọn màu</x:v>
      </x:c>
      <x:c r="AR62" s="16" t="n">
        <x:v>1</x:v>
      </x:c>
      <x:c r="AS62" s="16" t="n">
        <x:v>0</x:v>
      </x:c>
      <x:c r="AT62" s="16" t="n">
        <x:v>0</x:v>
      </x:c>
      <x:c r="AU62" s="16" t="n">
        <x:v>0</x:v>
      </x:c>
      <x:c r="AV62" s="16" t="n">
        <x:v>0</x:v>
      </x:c>
      <x:c r="AW62" s="16" t="n">
        <x:v>0</x:v>
      </x:c>
      <x:c r="AX62" s="16" t="n">
        <x:v>0</x:v>
      </x:c>
      <x:c r="AY62" s="16" t="n">
        <x:v>0</x:v>
      </x:c>
      <x:c r="AZ62" s="16" t="n">
        <x:v>0</x:v>
      </x:c>
      <x:c r="BA62" s="11"/>
      <x:c r="BB62" s="11" t="str">
        <x:v>cod</x:v>
      </x:c>
      <x:c r="BC62" s="11" t="str">
        <x:v>Thuận tiện với cách nhận hàng gần đây.</x:v>
      </x:c>
      <x:c r="BD62" s="11" t="str">
        <x:v>guest</x:v>
      </x:c>
      <x:c r="BE62" s="16" t="n">
        <x:v>0</x:v>
      </x:c>
      <x:c r="BF62" s="16" t="n">
        <x:v>1</x:v>
      </x:c>
      <x:c r="BG62" s="16" t="n">
        <x:v>0</x:v>
      </x:c>
      <x:c r="BH62" s="16" t="n">
        <x:v>1</x:v>
      </x:c>
      <x:c r="BI62" s="16" t="n">
        <x:v>1</x:v>
      </x:c>
      <x:c r="BJ62" s="16" t="n">
        <x:v>0</x:v>
      </x:c>
      <x:c r="BK62" s="16" t="n">
        <x:v>1</x:v>
      </x:c>
      <x:c r="BL62" s="11" t="str">
        <x:v>neutral</x:v>
      </x:c>
      <x:c r="BM62" s="11" t="str">
        <x:v>Cho xem ảnh mặt trước, sau và chi tiết đường may.</x:v>
      </x:c>
    </x:row>
    <x:row r="63" ht="64" customHeight="1">
      <x:c r="A63" s="12" t="str">
        <x:v>SYN-PH-058</x:v>
      </x:c>
      <x:c r="B63" s="12" t="str">
        <x:v>SYN</x:v>
      </x:c>
      <x:c r="C63" s="12" t="str">
        <x:v>N5</x:v>
      </x:c>
      <x:c r="D63" s="15" t="n">
        <x:v>8.4</x:v>
      </x:c>
      <x:c r="E63" s="17" t="n">
        <x:v>1</x:v>
      </x:c>
      <x:c r="F63" s="17" t="n">
        <x:v>1</x:v>
      </x:c>
      <x:c r="G63" s="12" t="str">
        <x:v>excluded</x:v>
      </x:c>
      <x:c r="H63" s="12" t="str">
        <x:v>duplicate</x:v>
      </x:c>
      <x:c r="I63" s="12" t="str">
        <x:v>SYN-PH-057</x:v>
      </x:c>
      <x:c r="J63" s="12" t="str">
        <x:v>yes</x:v>
      </x:c>
      <x:c r="K63" s="12" t="str">
        <x:v>age_35_44</x:v>
      </x:c>
      <x:c r="L63" s="12" t="str">
        <x:v>yes</x:v>
      </x:c>
      <x:c r="M63" s="12" t="str">
        <x:v>danang</x:v>
      </x:c>
      <x:c r="N63" s="12" t="str">
        <x:v>less_often</x:v>
      </x:c>
      <x:c r="O63" s="17" t="n">
        <x:v>1</x:v>
      </x:c>
      <x:c r="P63" s="17" t="n">
        <x:v>1</x:v>
      </x:c>
      <x:c r="Q63" s="17" t="n">
        <x:v>0</x:v>
      </x:c>
      <x:c r="R63" s="17" t="n">
        <x:v>1</x:v>
      </x:c>
      <x:c r="S63" s="17" t="n">
        <x:v>0</x:v>
      </x:c>
      <x:c r="T63" s="12"/>
      <x:c r="U63" s="12" t="str">
        <x:v>at_least_1200k</x:v>
      </x:c>
      <x:c r="V63" s="17" t="n">
        <x:v>1</x:v>
      </x:c>
      <x:c r="W63" s="17" t="n">
        <x:v>1</x:v>
      </x:c>
      <x:c r="X63" s="17" t="n">
        <x:v>1</x:v>
      </x:c>
      <x:c r="Y63" s="17" t="n">
        <x:v>0</x:v>
      </x:c>
      <x:c r="Z63" s="17" t="n">
        <x:v>1</x:v>
      </x:c>
      <x:c r="AA63" s="17" t="n">
        <x:v>0</x:v>
      </x:c>
      <x:c r="AB63" s="17" t="n">
        <x:v>1</x:v>
      </x:c>
      <x:c r="AC63" s="17" t="n">
        <x:v>0</x:v>
      </x:c>
      <x:c r="AD63" s="17" t="n">
        <x:v>0</x:v>
      </x:c>
      <x:c r="AE63" s="12"/>
      <x:c r="AF63" s="12" t="str">
        <x:v>photo_mismatch</x:v>
      </x:c>
      <x:c r="AG63" s="12" t="str">
        <x:v>Màu trong ảnh và mô tả thiếu thông tin dưới ánh sáng thường.</x:v>
      </x:c>
      <x:c r="AH63" s="12" t="str">
        <x:v>yes</x:v>
      </x:c>
      <x:c r="AI63" s="17" t="n">
        <x:v>0</x:v>
      </x:c>
      <x:c r="AJ63" s="17" t="n">
        <x:v>1</x:v>
      </x:c>
      <x:c r="AK63" s="17" t="n">
        <x:v>0</x:v>
      </x:c>
      <x:c r="AL63" s="17" t="n">
        <x:v>1</x:v>
      </x:c>
      <x:c r="AM63" s="17" t="n">
        <x:v>1</x:v>
      </x:c>
      <x:c r="AN63" s="17" t="n">
        <x:v>0</x:v>
      </x:c>
      <x:c r="AO63" s="17" t="n">
        <x:v>1</x:v>
      </x:c>
      <x:c r="AP63" s="17" t="n">
        <x:v>1</x:v>
      </x:c>
      <x:c r="AQ63" s="12" t="str">
        <x:v>Cần hỏi lại người nhận về lựa chọn màu</x:v>
      </x:c>
      <x:c r="AR63" s="17" t="n">
        <x:v>1</x:v>
      </x:c>
      <x:c r="AS63" s="17" t="n">
        <x:v>0</x:v>
      </x:c>
      <x:c r="AT63" s="17" t="n">
        <x:v>0</x:v>
      </x:c>
      <x:c r="AU63" s="17" t="n">
        <x:v>0</x:v>
      </x:c>
      <x:c r="AV63" s="17" t="n">
        <x:v>0</x:v>
      </x:c>
      <x:c r="AW63" s="17" t="n">
        <x:v>0</x:v>
      </x:c>
      <x:c r="AX63" s="17" t="n">
        <x:v>0</x:v>
      </x:c>
      <x:c r="AY63" s="17" t="n">
        <x:v>0</x:v>
      </x:c>
      <x:c r="AZ63" s="17" t="n">
        <x:v>0</x:v>
      </x:c>
      <x:c r="BA63" s="12"/>
      <x:c r="BB63" s="12" t="str">
        <x:v>cod</x:v>
      </x:c>
      <x:c r="BC63" s="12" t="str">
        <x:v>Thuận tiện với cách nhận hàng gần đây.</x:v>
      </x:c>
      <x:c r="BD63" s="12" t="str">
        <x:v>guest</x:v>
      </x:c>
      <x:c r="BE63" s="17" t="n">
        <x:v>0</x:v>
      </x:c>
      <x:c r="BF63" s="17" t="n">
        <x:v>1</x:v>
      </x:c>
      <x:c r="BG63" s="17" t="n">
        <x:v>0</x:v>
      </x:c>
      <x:c r="BH63" s="17" t="n">
        <x:v>1</x:v>
      </x:c>
      <x:c r="BI63" s="17" t="n">
        <x:v>1</x:v>
      </x:c>
      <x:c r="BJ63" s="17" t="n">
        <x:v>0</x:v>
      </x:c>
      <x:c r="BK63" s="17" t="n">
        <x:v>1</x:v>
      </x:c>
      <x:c r="BL63" s="12" t="str">
        <x:v>neutral</x:v>
      </x:c>
      <x:c r="BM63" s="12" t="str">
        <x:v>Cho xem ảnh mặt trước, sau và chi tiết đường may.</x:v>
      </x:c>
    </x:row>
    <x:row r="64" ht="64" customHeight="1">
      <x:c r="A64" s="11" t="str">
        <x:v>SYN-PH-059</x:v>
      </x:c>
      <x:c r="B64" s="11" t="str">
        <x:v>SYN</x:v>
      </x:c>
      <x:c r="C64" s="11" t="str">
        <x:v>N5</x:v>
      </x:c>
      <x:c r="D64" s="14" t="n">
        <x:v>7</x:v>
      </x:c>
      <x:c r="E64" s="16" t="n">
        <x:v>1</x:v>
      </x:c>
      <x:c r="F64" s="16" t="n">
        <x:v>1</x:v>
      </x:c>
      <x:c r="G64" s="11" t="str">
        <x:v>valid</x:v>
      </x:c>
      <x:c r="H64" s="11"/>
      <x:c r="I64" s="11"/>
      <x:c r="J64" s="11" t="str">
        <x:v>yes</x:v>
      </x:c>
      <x:c r="K64" s="11" t="str">
        <x:v>age_25_34</x:v>
      </x:c>
      <x:c r="L64" s="11" t="str">
        <x:v>yes</x:v>
      </x:c>
      <x:c r="M64" s="11" t="str">
        <x:v>other_urban</x:v>
      </x:c>
      <x:c r="N64" s="11" t="str">
        <x:v>every_2_3_months</x:v>
      </x:c>
      <x:c r="O64" s="16" t="n">
        <x:v>1</x:v>
      </x:c>
      <x:c r="P64" s="16" t="n">
        <x:v>0</x:v>
      </x:c>
      <x:c r="Q64" s="16" t="n">
        <x:v>1</x:v>
      </x:c>
      <x:c r="R64" s="16" t="n">
        <x:v>1</x:v>
      </x:c>
      <x:c r="S64" s="16" t="n">
        <x:v>0</x:v>
      </x:c>
      <x:c r="T64" s="11"/>
      <x:c r="U64" s="11" t="str">
        <x:v>v300k_499k</x:v>
      </x:c>
      <x:c r="V64" s="16" t="n">
        <x:v>0</x:v>
      </x:c>
      <x:c r="W64" s="16" t="n">
        <x:v>0</x:v>
      </x:c>
      <x:c r="X64" s="16" t="n">
        <x:v>0</x:v>
      </x:c>
      <x:c r="Y64" s="16" t="n">
        <x:v>0</x:v>
      </x:c>
      <x:c r="Z64" s="16" t="n">
        <x:v>0</x:v>
      </x:c>
      <x:c r="AA64" s="16" t="n">
        <x:v>0</x:v>
      </x:c>
      <x:c r="AB64" s="16" t="n">
        <x:v>0</x:v>
      </x:c>
      <x:c r="AC64" s="16" t="n">
        <x:v>1</x:v>
      </x:c>
      <x:c r="AD64" s="16" t="n">
        <x:v>0</x:v>
      </x:c>
      <x:c r="AE64" s="11"/>
      <x:c r="AF64" s="11"/>
      <x:c r="AG64" s="11"/>
      <x:c r="AH64" s="11" t="str">
        <x:v>cannot_recall</x:v>
      </x:c>
      <x:c r="AI64" s="16"/>
      <x:c r="AJ64" s="16"/>
      <x:c r="AK64" s="16"/>
      <x:c r="AL64" s="16"/>
      <x:c r="AM64" s="16"/>
      <x:c r="AN64" s="16"/>
      <x:c r="AO64" s="16"/>
      <x:c r="AP64" s="16"/>
      <x:c r="AQ64" s="11"/>
      <x:c r="AR64" s="16" t="n">
        <x:v>0</x:v>
      </x:c>
      <x:c r="AS64" s="16" t="n">
        <x:v>0</x:v>
      </x:c>
      <x:c r="AT64" s="16" t="n">
        <x:v>1</x:v>
      </x:c>
      <x:c r="AU64" s="16" t="n">
        <x:v>0</x:v>
      </x:c>
      <x:c r="AV64" s="16" t="n">
        <x:v>0</x:v>
      </x:c>
      <x:c r="AW64" s="16" t="n">
        <x:v>0</x:v>
      </x:c>
      <x:c r="AX64" s="16" t="n">
        <x:v>0</x:v>
      </x:c>
      <x:c r="AY64" s="16" t="n">
        <x:v>0</x:v>
      </x:c>
      <x:c r="AZ64" s="16" t="n">
        <x:v>0</x:v>
      </x:c>
      <x:c r="BA64" s="11"/>
      <x:c r="BB64" s="11" t="str">
        <x:v>prepaid</x:v>
      </x:c>
      <x:c r="BC64" s="11" t="str">
        <x:v>Tiện cho người nhận không cần chuẩn bị tiền.</x:v>
      </x:c>
      <x:c r="BD64" s="11" t="str">
        <x:v>register_now</x:v>
      </x:c>
      <x:c r="BE64" s="16" t="n">
        <x:v>1</x:v>
      </x:c>
      <x:c r="BF64" s="16" t="n">
        <x:v>0</x:v>
      </x:c>
      <x:c r="BG64" s="16" t="n">
        <x:v>1</x:v>
      </x:c>
      <x:c r="BH64" s="16" t="n">
        <x:v>1</x:v>
      </x:c>
      <x:c r="BI64" s="16" t="n">
        <x:v>1</x:v>
      </x:c>
      <x:c r="BJ64" s="16" t="n">
        <x:v>1</x:v>
      </x:c>
      <x:c r="BK64" s="16" t="n">
        <x:v>0</x:v>
      </x:c>
      <x:c r="BL64" s="11" t="str">
        <x:v>neutral</x:v>
      </x:c>
      <x:c r="BM64" s="11" t="str">
        <x:v>Giữ giao diện gọn và thao tác mua nhanh.</x:v>
      </x:c>
    </x:row>
    <x:row r="65" ht="64" customHeight="1">
      <x:c r="A65" s="12" t="str">
        <x:v>SYN-PH-060</x:v>
      </x:c>
      <x:c r="B65" s="12" t="str">
        <x:v>SYN</x:v>
      </x:c>
      <x:c r="C65" s="12" t="str">
        <x:v>N5</x:v>
      </x:c>
      <x:c r="D65" s="15" t="n">
        <x:v>8</x:v>
      </x:c>
      <x:c r="E65" s="17" t="n">
        <x:v>1</x:v>
      </x:c>
      <x:c r="F65" s="17" t="n">
        <x:v>1</x:v>
      </x:c>
      <x:c r="G65" s="12" t="str">
        <x:v>valid</x:v>
      </x:c>
      <x:c r="H65" s="12"/>
      <x:c r="I65" s="12"/>
      <x:c r="J65" s="12" t="str">
        <x:v>yes</x:v>
      </x:c>
      <x:c r="K65" s="12" t="str">
        <x:v>age_35_44</x:v>
      </x:c>
      <x:c r="L65" s="12" t="str">
        <x:v>yes</x:v>
      </x:c>
      <x:c r="M65" s="12" t="str">
        <x:v>hanoi</x:v>
      </x:c>
      <x:c r="N65" s="12" t="str">
        <x:v>monthly_2_3</x:v>
      </x:c>
      <x:c r="O65" s="17" t="n">
        <x:v>1</x:v>
      </x:c>
      <x:c r="P65" s="17" t="n">
        <x:v>1</x:v>
      </x:c>
      <x:c r="Q65" s="17" t="n">
        <x:v>1</x:v>
      </x:c>
      <x:c r="R65" s="17" t="n">
        <x:v>1</x:v>
      </x:c>
      <x:c r="S65" s="17" t="n">
        <x:v>0</x:v>
      </x:c>
      <x:c r="T65" s="12"/>
      <x:c r="U65" s="12" t="str">
        <x:v>v500k_799k</x:v>
      </x:c>
      <x:c r="V65" s="17" t="n">
        <x:v>1</x:v>
      </x:c>
      <x:c r="W65" s="17" t="n">
        <x:v>1</x:v>
      </x:c>
      <x:c r="X65" s="17" t="n">
        <x:v>1</x:v>
      </x:c>
      <x:c r="Y65" s="17" t="n">
        <x:v>1</x:v>
      </x:c>
      <x:c r="Z65" s="17" t="n">
        <x:v>1</x:v>
      </x:c>
      <x:c r="AA65" s="17" t="n">
        <x:v>0</x:v>
      </x:c>
      <x:c r="AB65" s="17" t="n">
        <x:v>1</x:v>
      </x:c>
      <x:c r="AC65" s="17" t="n">
        <x:v>0</x:v>
      </x:c>
      <x:c r="AD65" s="17" t="n">
        <x:v>0</x:v>
      </x:c>
      <x:c r="AE65" s="12"/>
      <x:c r="AF65" s="12" t="str">
        <x:v>payment_concern</x:v>
      </x:c>
      <x:c r="AG65" s="12" t="str">
        <x:v>Cần nhận diện rõ nơi xử lý thanh toán trước khi tiếp tục.</x:v>
      </x:c>
      <x:c r="AH65" s="12" t="str">
        <x:v>yes</x:v>
      </x:c>
      <x:c r="AI65" s="17" t="n">
        <x:v>1</x:v>
      </x:c>
      <x:c r="AJ65" s="17" t="n">
        <x:v>1</x:v>
      </x:c>
      <x:c r="AK65" s="17" t="n">
        <x:v>0</x:v>
      </x:c>
      <x:c r="AL65" s="17" t="n">
        <x:v>0</x:v>
      </x:c>
      <x:c r="AM65" s="17" t="n">
        <x:v>1</x:v>
      </x:c>
      <x:c r="AN65" s="17" t="n">
        <x:v>0</x:v>
      </x:c>
      <x:c r="AO65" s="17" t="n">
        <x:v>0</x:v>
      </x:c>
      <x:c r="AP65" s="17" t="n">
        <x:v>0</x:v>
      </x:c>
      <x:c r="AQ65" s="12"/>
      <x:c r="AR65" s="17" t="n">
        <x:v>0</x:v>
      </x:c>
      <x:c r="AS65" s="17" t="n">
        <x:v>1</x:v>
      </x:c>
      <x:c r="AT65" s="17" t="n">
        <x:v>0</x:v>
      </x:c>
      <x:c r="AU65" s="17" t="n">
        <x:v>0</x:v>
      </x:c>
      <x:c r="AV65" s="17" t="n">
        <x:v>0</x:v>
      </x:c>
      <x:c r="AW65" s="17" t="n">
        <x:v>0</x:v>
      </x:c>
      <x:c r="AX65" s="17" t="n">
        <x:v>1</x:v>
      </x:c>
      <x:c r="AY65" s="17" t="n">
        <x:v>0</x:v>
      </x:c>
      <x:c r="AZ65" s="17" t="n">
        <x:v>0</x:v>
      </x:c>
      <x:c r="BA65" s="12"/>
      <x:c r="BB65" s="12" t="str">
        <x:v>cod</x:v>
      </x:c>
      <x:c r="BC65" s="12" t="str">
        <x:v>Thuận tiện với cách nhận hàng gần đây.</x:v>
      </x:c>
      <x:c r="BD65" s="12" t="str">
        <x:v>guest</x:v>
      </x:c>
      <x:c r="BE65" s="17" t="n">
        <x:v>1</x:v>
      </x:c>
      <x:c r="BF65" s="17" t="n">
        <x:v>0</x:v>
      </x:c>
      <x:c r="BG65" s="17" t="n">
        <x:v>1</x:v>
      </x:c>
      <x:c r="BH65" s="17" t="n">
        <x:v>1</x:v>
      </x:c>
      <x:c r="BI65" s="17" t="n">
        <x:v>0</x:v>
      </x:c>
      <x:c r="BJ65" s="17" t="n">
        <x:v>0</x:v>
      </x:c>
      <x:c r="BK65" s="17" t="n">
        <x:v>1</x:v>
      </x:c>
      <x:c r="BL65" s="12" t="str">
        <x:v>very_willing</x:v>
      </x:c>
      <x:c r="BM65" s="12" t="str">
        <x:v>Cho tra cứu trạng thái đơn sau khi thanh toán bị gián đoạn.</x:v>
      </x:c>
    </x:row>
    <x:row r="66" ht="64" customHeight="1">
      <x:c r="A66" s="11" t="str">
        <x:v>SYN-PH-061</x:v>
      </x:c>
      <x:c r="B66" s="11" t="str">
        <x:v>SYN</x:v>
      </x:c>
      <x:c r="C66" s="11" t="str">
        <x:v>N5</x:v>
      </x:c>
      <x:c r="D66" s="14" t="n">
        <x:v>0.5</x:v>
      </x:c>
      <x:c r="E66" s="16" t="n">
        <x:v>0</x:v>
      </x:c>
      <x:c r="F66" s="16" t="n">
        <x:v>0</x:v>
      </x:c>
      <x:c r="G66" s="11" t="str">
        <x:v>excluded</x:v>
      </x:c>
      <x:c r="H66" s="11" t="str">
        <x:v>no_consent</x:v>
      </x:c>
      <x:c r="I66" s="11"/>
      <x:c r="J66" s="11" t="str">
        <x:v>no</x:v>
      </x:c>
      <x:c r="K66" s="11"/>
      <x:c r="L66" s="11"/>
      <x:c r="M66" s="11"/>
      <x:c r="N66" s="11"/>
      <x:c r="O66" s="16"/>
      <x:c r="P66" s="16"/>
      <x:c r="Q66" s="16"/>
      <x:c r="R66" s="16"/>
      <x:c r="S66" s="16"/>
      <x:c r="T66" s="11"/>
      <x:c r="U66" s="11"/>
      <x:c r="V66" s="16"/>
      <x:c r="W66" s="16"/>
      <x:c r="X66" s="16"/>
      <x:c r="Y66" s="16"/>
      <x:c r="Z66" s="16"/>
      <x:c r="AA66" s="16"/>
      <x:c r="AB66" s="16"/>
      <x:c r="AC66" s="16"/>
      <x:c r="AD66" s="16"/>
      <x:c r="AE66" s="11"/>
      <x:c r="AF66" s="11"/>
      <x:c r="AG66" s="11"/>
      <x:c r="AH66" s="11"/>
      <x:c r="AI66" s="16"/>
      <x:c r="AJ66" s="16"/>
      <x:c r="AK66" s="16"/>
      <x:c r="AL66" s="16"/>
      <x:c r="AM66" s="16"/>
      <x:c r="AN66" s="16"/>
      <x:c r="AO66" s="16"/>
      <x:c r="AP66" s="16"/>
      <x:c r="AQ66" s="11"/>
      <x:c r="AR66" s="16"/>
      <x:c r="AS66" s="16"/>
      <x:c r="AT66" s="16"/>
      <x:c r="AU66" s="16"/>
      <x:c r="AV66" s="16"/>
      <x:c r="AW66" s="16"/>
      <x:c r="AX66" s="16"/>
      <x:c r="AY66" s="16"/>
      <x:c r="AZ66" s="16"/>
      <x:c r="BA66" s="11"/>
      <x:c r="BB66" s="11"/>
      <x:c r="BC66" s="11"/>
      <x:c r="BD66" s="11"/>
      <x:c r="BE66" s="16"/>
      <x:c r="BF66" s="16"/>
      <x:c r="BG66" s="16"/>
      <x:c r="BH66" s="16"/>
      <x:c r="BI66" s="16"/>
      <x:c r="BJ66" s="16"/>
      <x:c r="BK66" s="16"/>
      <x:c r="BL66" s="11"/>
      <x:c r="BM66" s="11"/>
    </x:row>
    <x:row r="67" ht="64" customHeight="1">
      <x:c r="A67" s="12" t="str">
        <x:v>SYN-PH-062</x:v>
      </x:c>
      <x:c r="B67" s="12" t="str">
        <x:v>SYN</x:v>
      </x:c>
      <x:c r="C67" s="12" t="str">
        <x:v>N5</x:v>
      </x:c>
      <x:c r="D67" s="15" t="n">
        <x:v>10.1</x:v>
      </x:c>
      <x:c r="E67" s="17" t="n">
        <x:v>1</x:v>
      </x:c>
      <x:c r="F67" s="17" t="n">
        <x:v>1</x:v>
      </x:c>
      <x:c r="G67" s="12" t="str">
        <x:v>valid</x:v>
      </x:c>
      <x:c r="H67" s="12"/>
      <x:c r="I67" s="12"/>
      <x:c r="J67" s="12" t="str">
        <x:v>yes</x:v>
      </x:c>
      <x:c r="K67" s="12" t="str">
        <x:v>age_18_24</x:v>
      </x:c>
      <x:c r="L67" s="12" t="str">
        <x:v>yes</x:v>
      </x:c>
      <x:c r="M67" s="12" t="str">
        <x:v>nonurban</x:v>
      </x:c>
      <x:c r="N67" s="12" t="str">
        <x:v>monthly</x:v>
      </x:c>
      <x:c r="O67" s="17" t="n">
        <x:v>1</x:v>
      </x:c>
      <x:c r="P67" s="17" t="n">
        <x:v>1</x:v>
      </x:c>
      <x:c r="Q67" s="17" t="n">
        <x:v>1</x:v>
      </x:c>
      <x:c r="R67" s="17" t="n">
        <x:v>0</x:v>
      </x:c>
      <x:c r="S67" s="17" t="n">
        <x:v>0</x:v>
      </x:c>
      <x:c r="T67" s="12"/>
      <x:c r="U67" s="12" t="str">
        <x:v>v500k_799k</x:v>
      </x:c>
      <x:c r="V67" s="17" t="n">
        <x:v>1</x:v>
      </x:c>
      <x:c r="W67" s="17" t="n">
        <x:v>1</x:v>
      </x:c>
      <x:c r="X67" s="17" t="n">
        <x:v>0</x:v>
      </x:c>
      <x:c r="Y67" s="17" t="n">
        <x:v>1</x:v>
      </x:c>
      <x:c r="Z67" s="17" t="n">
        <x:v>1</x:v>
      </x:c>
      <x:c r="AA67" s="17" t="n">
        <x:v>0</x:v>
      </x:c>
      <x:c r="AB67" s="17" t="n">
        <x:v>0</x:v>
      </x:c>
      <x:c r="AC67" s="17" t="n">
        <x:v>0</x:v>
      </x:c>
      <x:c r="AD67" s="17" t="n">
        <x:v>0</x:v>
      </x:c>
      <x:c r="AE67" s="12"/>
      <x:c r="AF67" s="12" t="str">
        <x:v>size_uncertain</x:v>
      </x:c>
      <x:c r="AG67" s="12" t="str">
        <x:v>Không có số đo vai và chiều dài để chọn size.</x:v>
      </x:c>
      <x:c r="AH67" s="12" t="str">
        <x:v>yes</x:v>
      </x:c>
      <x:c r="AI67" s="17" t="n">
        <x:v>1</x:v>
      </x:c>
      <x:c r="AJ67" s="17" t="n">
        <x:v>0</x:v>
      </x:c>
      <x:c r="AK67" s="17" t="n">
        <x:v>0</x:v>
      </x:c>
      <x:c r="AL67" s="17" t="n">
        <x:v>0</x:v>
      </x:c>
      <x:c r="AM67" s="17" t="n">
        <x:v>1</x:v>
      </x:c>
      <x:c r="AN67" s="17" t="n">
        <x:v>0</x:v>
      </x:c>
      <x:c r="AO67" s="17" t="n">
        <x:v>0</x:v>
      </x:c>
      <x:c r="AP67" s="17" t="n">
        <x:v>0</x:v>
      </x:c>
      <x:c r="AQ67" s="12"/>
      <x:c r="AR67" s="17" t="n">
        <x:v>1</x:v>
      </x:c>
      <x:c r="AS67" s="17" t="n">
        <x:v>0</x:v>
      </x:c>
      <x:c r="AT67" s="17" t="n">
        <x:v>0</x:v>
      </x:c>
      <x:c r="AU67" s="17" t="n">
        <x:v>0</x:v>
      </x:c>
      <x:c r="AV67" s="17" t="n">
        <x:v>1</x:v>
      </x:c>
      <x:c r="AW67" s="17" t="n">
        <x:v>1</x:v>
      </x:c>
      <x:c r="AX67" s="17" t="n">
        <x:v>0</x:v>
      </x:c>
      <x:c r="AY67" s="17" t="n">
        <x:v>0</x:v>
      </x:c>
      <x:c r="AZ67" s="17" t="n">
        <x:v>0</x:v>
      </x:c>
      <x:c r="BA67" s="12"/>
      <x:c r="BB67" s="12" t="str">
        <x:v>prepaid</x:v>
      </x:c>
      <x:c r="BC67" s="12" t="str">
        <x:v>Đã quen thao tác thanh toán trước.</x:v>
      </x:c>
      <x:c r="BD67" s="12" t="str">
        <x:v>depends_on_benefits</x:v>
      </x:c>
      <x:c r="BE67" s="17" t="n">
        <x:v>1</x:v>
      </x:c>
      <x:c r="BF67" s="17" t="n">
        <x:v>0</x:v>
      </x:c>
      <x:c r="BG67" s="17" t="n">
        <x:v>0</x:v>
      </x:c>
      <x:c r="BH67" s="17" t="n">
        <x:v>0</x:v>
      </x:c>
      <x:c r="BI67" s="17" t="n">
        <x:v>1</x:v>
      </x:c>
      <x:c r="BJ67" s="17" t="n">
        <x:v>0</x:v>
      </x:c>
      <x:c r="BK67" s="17" t="n">
        <x:v>1</x:v>
      </x:c>
      <x:c r="BL67" s="12" t="str">
        <x:v>fairly_willing</x:v>
      </x:c>
      <x:c r="BM67" s="12" t="str">
        <x:v>Thêm bảng số đo chi tiết theo từng mẫu.</x:v>
      </x:c>
    </x:row>
    <x:row r="68" ht="64" customHeight="1">
      <x:c r="A68" s="11" t="str">
        <x:v>SYN-PH-063</x:v>
      </x:c>
      <x:c r="B68" s="11" t="str">
        <x:v>SYN</x:v>
      </x:c>
      <x:c r="C68" s="11" t="str">
        <x:v>N5</x:v>
      </x:c>
      <x:c r="D68" s="14" t="n">
        <x:v>11.8</x:v>
      </x:c>
      <x:c r="E68" s="16" t="n">
        <x:v>1</x:v>
      </x:c>
      <x:c r="F68" s="16" t="n">
        <x:v>1</x:v>
      </x:c>
      <x:c r="G68" s="11" t="str">
        <x:v>valid</x:v>
      </x:c>
      <x:c r="H68" s="11"/>
      <x:c r="I68" s="11"/>
      <x:c r="J68" s="11" t="str">
        <x:v>yes</x:v>
      </x:c>
      <x:c r="K68" s="11" t="str">
        <x:v>age_18_24</x:v>
      </x:c>
      <x:c r="L68" s="11" t="str">
        <x:v>yes</x:v>
      </x:c>
      <x:c r="M68" s="11" t="str">
        <x:v>hcm</x:v>
      </x:c>
      <x:c r="N68" s="11" t="str">
        <x:v>monthly</x:v>
      </x:c>
      <x:c r="O68" s="16" t="n">
        <x:v>1</x:v>
      </x:c>
      <x:c r="P68" s="16" t="n">
        <x:v>0</x:v>
      </x:c>
      <x:c r="Q68" s="16" t="n">
        <x:v>0</x:v>
      </x:c>
      <x:c r="R68" s="16" t="n">
        <x:v>0</x:v>
      </x:c>
      <x:c r="S68" s="16" t="n">
        <x:v>0</x:v>
      </x:c>
      <x:c r="T68" s="11"/>
      <x:c r="U68" s="11" t="str">
        <x:v>v800k_1199k</x:v>
      </x:c>
      <x:c r="V68" s="16" t="n">
        <x:v>1</x:v>
      </x:c>
      <x:c r="W68" s="16" t="n">
        <x:v>0</x:v>
      </x:c>
      <x:c r="X68" s="16" t="n">
        <x:v>1</x:v>
      </x:c>
      <x:c r="Y68" s="16" t="n">
        <x:v>1</x:v>
      </x:c>
      <x:c r="Z68" s="16" t="n">
        <x:v>1</x:v>
      </x:c>
      <x:c r="AA68" s="16" t="n">
        <x:v>1</x:v>
      </x:c>
      <x:c r="AB68" s="16" t="n">
        <x:v>0</x:v>
      </x:c>
      <x:c r="AC68" s="16" t="n">
        <x:v>0</x:v>
      </x:c>
      <x:c r="AD68" s="16" t="n">
        <x:v>0</x:v>
      </x:c>
      <x:c r="AE68" s="11"/>
      <x:c r="AF68" s="11" t="str">
        <x:v>tracking_unclear</x:v>
      </x:c>
      <x:c r="AG68" s="11" t="str">
        <x:v>Một đơn có nhiều kiện nhưng chỉ thấy trạng thái chung.</x:v>
      </x:c>
      <x:c r="AH68" s="11" t="str">
        <x:v>yes</x:v>
      </x:c>
      <x:c r="AI68" s="16" t="n">
        <x:v>1</x:v>
      </x:c>
      <x:c r="AJ68" s="16" t="n">
        <x:v>1</x:v>
      </x:c>
      <x:c r="AK68" s="16" t="n">
        <x:v>0</x:v>
      </x:c>
      <x:c r="AL68" s="16" t="n">
        <x:v>1</x:v>
      </x:c>
      <x:c r="AM68" s="16" t="n">
        <x:v>0</x:v>
      </x:c>
      <x:c r="AN68" s="16" t="n">
        <x:v>0</x:v>
      </x:c>
      <x:c r="AO68" s="16" t="n">
        <x:v>0</x:v>
      </x:c>
      <x:c r="AP68" s="16" t="n">
        <x:v>0</x:v>
      </x:c>
      <x:c r="AQ68" s="11"/>
      <x:c r="AR68" s="16" t="n">
        <x:v>1</x:v>
      </x:c>
      <x:c r="AS68" s="16" t="n">
        <x:v>0</x:v>
      </x:c>
      <x:c r="AT68" s="16" t="n">
        <x:v>0</x:v>
      </x:c>
      <x:c r="AU68" s="16" t="n">
        <x:v>0</x:v>
      </x:c>
      <x:c r="AV68" s="16" t="n">
        <x:v>1</x:v>
      </x:c>
      <x:c r="AW68" s="16" t="n">
        <x:v>1</x:v>
      </x:c>
      <x:c r="AX68" s="16" t="n">
        <x:v>0</x:v>
      </x:c>
      <x:c r="AY68" s="16" t="n">
        <x:v>0</x:v>
      </x:c>
      <x:c r="AZ68" s="16" t="n">
        <x:v>0</x:v>
      </x:c>
      <x:c r="BA68" s="11"/>
      <x:c r="BB68" s="11" t="str">
        <x:v>prepaid</x:v>
      </x:c>
      <x:c r="BC68" s="11" t="str">
        <x:v>Phương thức này phù hợp ưu đãi của lần mua.</x:v>
      </x:c>
      <x:c r="BD68" s="11" t="str">
        <x:v>guest</x:v>
      </x:c>
      <x:c r="BE68" s="16" t="n">
        <x:v>0</x:v>
      </x:c>
      <x:c r="BF68" s="16" t="n">
        <x:v>1</x:v>
      </x:c>
      <x:c r="BG68" s="16" t="n">
        <x:v>1</x:v>
      </x:c>
      <x:c r="BH68" s="16" t="n">
        <x:v>1</x:v>
      </x:c>
      <x:c r="BI68" s="16" t="n">
        <x:v>0</x:v>
      </x:c>
      <x:c r="BJ68" s="16" t="n">
        <x:v>1</x:v>
      </x:c>
      <x:c r="BK68" s="16" t="n">
        <x:v>1</x:v>
      </x:c>
      <x:c r="BL68" s="11" t="str">
        <x:v>neutral</x:v>
      </x:c>
      <x:c r="BM68" s="11" t="str">
        <x:v>Nêu rõ bước xử lý khi giao không thành công.</x:v>
      </x:c>
    </x:row>
    <x:row r="69" ht="64" customHeight="1">
      <x:c r="A69" s="12" t="str">
        <x:v>SYN-PH-064</x:v>
      </x:c>
      <x:c r="B69" s="12" t="str">
        <x:v>SYN</x:v>
      </x:c>
      <x:c r="C69" s="12" t="str">
        <x:v>N5</x:v>
      </x:c>
      <x:c r="D69" s="15" t="n">
        <x:v>7.1</x:v>
      </x:c>
      <x:c r="E69" s="17" t="n">
        <x:v>1</x:v>
      </x:c>
      <x:c r="F69" s="17" t="n">
        <x:v>1</x:v>
      </x:c>
      <x:c r="G69" s="12" t="str">
        <x:v>valid</x:v>
      </x:c>
      <x:c r="H69" s="12"/>
      <x:c r="I69" s="12"/>
      <x:c r="J69" s="12" t="str">
        <x:v>yes</x:v>
      </x:c>
      <x:c r="K69" s="12" t="str">
        <x:v>age_25_34</x:v>
      </x:c>
      <x:c r="L69" s="12" t="str">
        <x:v>yes</x:v>
      </x:c>
      <x:c r="M69" s="12" t="str">
        <x:v>other_urban</x:v>
      </x:c>
      <x:c r="N69" s="12" t="str">
        <x:v>monthly_2_3</x:v>
      </x:c>
      <x:c r="O69" s="17" t="n">
        <x:v>1</x:v>
      </x:c>
      <x:c r="P69" s="17" t="n">
        <x:v>0</x:v>
      </x:c>
      <x:c r="Q69" s="17" t="n">
        <x:v>1</x:v>
      </x:c>
      <x:c r="R69" s="17" t="n">
        <x:v>0</x:v>
      </x:c>
      <x:c r="S69" s="17" t="n">
        <x:v>0</x:v>
      </x:c>
      <x:c r="T69" s="12"/>
      <x:c r="U69" s="12" t="str">
        <x:v>v800k_1199k</x:v>
      </x:c>
      <x:c r="V69" s="17" t="n">
        <x:v>1</x:v>
      </x:c>
      <x:c r="W69" s="17" t="n">
        <x:v>0</x:v>
      </x:c>
      <x:c r="X69" s="17" t="n">
        <x:v>0</x:v>
      </x:c>
      <x:c r="Y69" s="17" t="n">
        <x:v>0</x:v>
      </x:c>
      <x:c r="Z69" s="17" t="n">
        <x:v>0</x:v>
      </x:c>
      <x:c r="AA69" s="17" t="n">
        <x:v>0</x:v>
      </x:c>
      <x:c r="AB69" s="17" t="n">
        <x:v>1</x:v>
      </x:c>
      <x:c r="AC69" s="17" t="n">
        <x:v>0</x:v>
      </x:c>
      <x:c r="AD69" s="17" t="n">
        <x:v>0</x:v>
      </x:c>
      <x:c r="AE69" s="12"/>
      <x:c r="AF69" s="12" t="str">
        <x:v>size_uncertain</x:v>
      </x:c>
      <x:c r="AG69" s="12" t="str">
        <x:v>Bảng size chỉ có S/M/L nên khó so với số đo áo đang mặc.</x:v>
      </x:c>
      <x:c r="AH69" s="12" t="str">
        <x:v>yes</x:v>
      </x:c>
      <x:c r="AI69" s="17" t="n">
        <x:v>0</x:v>
      </x:c>
      <x:c r="AJ69" s="17" t="n">
        <x:v>0</x:v>
      </x:c>
      <x:c r="AK69" s="17" t="n">
        <x:v>0</x:v>
      </x:c>
      <x:c r="AL69" s="17" t="n">
        <x:v>1</x:v>
      </x:c>
      <x:c r="AM69" s="17" t="n">
        <x:v>0</x:v>
      </x:c>
      <x:c r="AN69" s="17" t="n">
        <x:v>0</x:v>
      </x:c>
      <x:c r="AO69" s="17" t="n">
        <x:v>0</x:v>
      </x:c>
      <x:c r="AP69" s="17" t="n">
        <x:v>0</x:v>
      </x:c>
      <x:c r="AQ69" s="12"/>
      <x:c r="AR69" s="17" t="n">
        <x:v>1</x:v>
      </x:c>
      <x:c r="AS69" s="17" t="n">
        <x:v>0</x:v>
      </x:c>
      <x:c r="AT69" s="17" t="n">
        <x:v>1</x:v>
      </x:c>
      <x:c r="AU69" s="17" t="n">
        <x:v>0</x:v>
      </x:c>
      <x:c r="AV69" s="17" t="n">
        <x:v>1</x:v>
      </x:c>
      <x:c r="AW69" s="17" t="n">
        <x:v>0</x:v>
      </x:c>
      <x:c r="AX69" s="17" t="n">
        <x:v>0</x:v>
      </x:c>
      <x:c r="AY69" s="17" t="n">
        <x:v>0</x:v>
      </x:c>
      <x:c r="AZ69" s="17" t="n">
        <x:v>0</x:v>
      </x:c>
      <x:c r="BA69" s="12"/>
      <x:c r="BB69" s="12" t="str">
        <x:v>cod</x:v>
      </x:c>
      <x:c r="BC69" s="12" t="str">
        <x:v>Quen thanh toán lúc giao hàng.</x:v>
      </x:c>
      <x:c r="BD69" s="12" t="str">
        <x:v>unsure</x:v>
      </x:c>
      <x:c r="BE69" s="17" t="n">
        <x:v>1</x:v>
      </x:c>
      <x:c r="BF69" s="17" t="n">
        <x:v>1</x:v>
      </x:c>
      <x:c r="BG69" s="17" t="n">
        <x:v>1</x:v>
      </x:c>
      <x:c r="BH69" s="17" t="n">
        <x:v>1</x:v>
      </x:c>
      <x:c r="BI69" s="17" t="n">
        <x:v>1</x:v>
      </x:c>
      <x:c r="BJ69" s="17" t="n">
        <x:v>0</x:v>
      </x:c>
      <x:c r="BK69" s="17" t="n">
        <x:v>1</x:v>
      </x:c>
      <x:c r="BL69" s="12" t="str">
        <x:v>less_willing</x:v>
      </x:c>
      <x:c r="BM69" s="12" t="str">
        <x:v>So sánh size giữa các mẫu quần áo.</x:v>
      </x:c>
    </x:row>
    <x:row r="70" ht="64" customHeight="1">
      <x:c r="A70" s="11" t="str">
        <x:v>SYN-PH-065</x:v>
      </x:c>
      <x:c r="B70" s="11" t="str">
        <x:v>SYN</x:v>
      </x:c>
      <x:c r="C70" s="11" t="str">
        <x:v>N5</x:v>
      </x:c>
      <x:c r="D70" s="14" t="n">
        <x:v>12.2</x:v>
      </x:c>
      <x:c r="E70" s="16" t="n">
        <x:v>1</x:v>
      </x:c>
      <x:c r="F70" s="16" t="n">
        <x:v>1</x:v>
      </x:c>
      <x:c r="G70" s="11" t="str">
        <x:v>valid</x:v>
      </x:c>
      <x:c r="H70" s="11"/>
      <x:c r="I70" s="11"/>
      <x:c r="J70" s="11" t="str">
        <x:v>yes</x:v>
      </x:c>
      <x:c r="K70" s="11" t="str">
        <x:v>age_25_34</x:v>
      </x:c>
      <x:c r="L70" s="11" t="str">
        <x:v>yes</x:v>
      </x:c>
      <x:c r="M70" s="11" t="str">
        <x:v>other_urban</x:v>
      </x:c>
      <x:c r="N70" s="11" t="str">
        <x:v>monthly_2_3</x:v>
      </x:c>
      <x:c r="O70" s="16" t="n">
        <x:v>1</x:v>
      </x:c>
      <x:c r="P70" s="16" t="n">
        <x:v>0</x:v>
      </x:c>
      <x:c r="Q70" s="16" t="n">
        <x:v>0</x:v>
      </x:c>
      <x:c r="R70" s="16" t="n">
        <x:v>0</x:v>
      </x:c>
      <x:c r="S70" s="16" t="n">
        <x:v>0</x:v>
      </x:c>
      <x:c r="T70" s="11"/>
      <x:c r="U70" s="11" t="str">
        <x:v>v800k_1199k</x:v>
      </x:c>
      <x:c r="V70" s="16" t="n">
        <x:v>1</x:v>
      </x:c>
      <x:c r="W70" s="16" t="n">
        <x:v>1</x:v>
      </x:c>
      <x:c r="X70" s="16" t="n">
        <x:v>0</x:v>
      </x:c>
      <x:c r="Y70" s="16" t="n">
        <x:v>1</x:v>
      </x:c>
      <x:c r="Z70" s="16" t="n">
        <x:v>0</x:v>
      </x:c>
      <x:c r="AA70" s="16" t="n">
        <x:v>0</x:v>
      </x:c>
      <x:c r="AB70" s="16" t="n">
        <x:v>1</x:v>
      </x:c>
      <x:c r="AC70" s="16" t="n">
        <x:v>0</x:v>
      </x:c>
      <x:c r="AD70" s="16" t="n">
        <x:v>0</x:v>
      </x:c>
      <x:c r="AE70" s="11"/>
      <x:c r="AF70" s="11" t="str">
        <x:v>late_total</x:v>
      </x:c>
      <x:c r="AG70" s="11" t="str">
        <x:v>Phí giao chỉ hiện ở bước xác nhận cuối.</x:v>
      </x:c>
      <x:c r="AH70" s="11" t="str">
        <x:v>yes</x:v>
      </x:c>
      <x:c r="AI70" s="16" t="n">
        <x:v>1</x:v>
      </x:c>
      <x:c r="AJ70" s="16" t="n">
        <x:v>1</x:v>
      </x:c>
      <x:c r="AK70" s="16" t="n">
        <x:v>0</x:v>
      </x:c>
      <x:c r="AL70" s="16" t="n">
        <x:v>1</x:v>
      </x:c>
      <x:c r="AM70" s="16" t="n">
        <x:v>1</x:v>
      </x:c>
      <x:c r="AN70" s="16" t="n">
        <x:v>0</x:v>
      </x:c>
      <x:c r="AO70" s="16" t="n">
        <x:v>1</x:v>
      </x:c>
      <x:c r="AP70" s="16" t="n">
        <x:v>0</x:v>
      </x:c>
      <x:c r="AQ70" s="11"/>
      <x:c r="AR70" s="16" t="n">
        <x:v>1</x:v>
      </x:c>
      <x:c r="AS70" s="16" t="n">
        <x:v>0</x:v>
      </x:c>
      <x:c r="AT70" s="16" t="n">
        <x:v>0</x:v>
      </x:c>
      <x:c r="AU70" s="16" t="n">
        <x:v>1</x:v>
      </x:c>
      <x:c r="AV70" s="16" t="n">
        <x:v>1</x:v>
      </x:c>
      <x:c r="AW70" s="16" t="n">
        <x:v>0</x:v>
      </x:c>
      <x:c r="AX70" s="16" t="n">
        <x:v>0</x:v>
      </x:c>
      <x:c r="AY70" s="16" t="n">
        <x:v>0</x:v>
      </x:c>
      <x:c r="AZ70" s="16" t="n">
        <x:v>0</x:v>
      </x:c>
      <x:c r="BA70" s="11"/>
      <x:c r="BB70" s="11" t="str">
        <x:v>cod</x:v>
      </x:c>
      <x:c r="BC70" s="11" t="str">
        <x:v>Muốn nhận hàng rồi mới thanh toán.</x:v>
      </x:c>
      <x:c r="BD70" s="11" t="str">
        <x:v>guest</x:v>
      </x:c>
      <x:c r="BE70" s="16" t="n">
        <x:v>1</x:v>
      </x:c>
      <x:c r="BF70" s="16" t="n">
        <x:v>1</x:v>
      </x:c>
      <x:c r="BG70" s="16" t="n">
        <x:v>0</x:v>
      </x:c>
      <x:c r="BH70" s="16" t="n">
        <x:v>1</x:v>
      </x:c>
      <x:c r="BI70" s="16" t="n">
        <x:v>1</x:v>
      </x:c>
      <x:c r="BJ70" s="16" t="n">
        <x:v>0</x:v>
      </x:c>
      <x:c r="BK70" s="16" t="n">
        <x:v>1</x:v>
      </x:c>
      <x:c r="BL70" s="11" t="str">
        <x:v>neutral</x:v>
      </x:c>
      <x:c r="BM70" s="11" t="str">
        <x:v>Giải thích vì sao mã giảm giá không áp dụng.</x:v>
      </x:c>
    </x:row>
    <x:row r="71" ht="64" customHeight="1">
      <x:c r="A71" s="12" t="str">
        <x:v>SYN-PH-066</x:v>
      </x:c>
      <x:c r="B71" s="12" t="str">
        <x:v>SYN</x:v>
      </x:c>
      <x:c r="C71" s="12" t="str">
        <x:v>N5</x:v>
      </x:c>
      <x:c r="D71" s="15" t="n">
        <x:v>8</x:v>
      </x:c>
      <x:c r="E71" s="17" t="n">
        <x:v>1</x:v>
      </x:c>
      <x:c r="F71" s="17" t="n">
        <x:v>1</x:v>
      </x:c>
      <x:c r="G71" s="12" t="str">
        <x:v>valid</x:v>
      </x:c>
      <x:c r="H71" s="12"/>
      <x:c r="I71" s="12"/>
      <x:c r="J71" s="12" t="str">
        <x:v>yes</x:v>
      </x:c>
      <x:c r="K71" s="12" t="str">
        <x:v>age_25_34</x:v>
      </x:c>
      <x:c r="L71" s="12" t="str">
        <x:v>yes</x:v>
      </x:c>
      <x:c r="M71" s="12" t="str">
        <x:v>other_urban</x:v>
      </x:c>
      <x:c r="N71" s="12" t="str">
        <x:v>less_often</x:v>
      </x:c>
      <x:c r="O71" s="17" t="n">
        <x:v>1</x:v>
      </x:c>
      <x:c r="P71" s="17" t="n">
        <x:v>1</x:v>
      </x:c>
      <x:c r="Q71" s="17" t="n">
        <x:v>0</x:v>
      </x:c>
      <x:c r="R71" s="17" t="n">
        <x:v>0</x:v>
      </x:c>
      <x:c r="S71" s="17" t="n">
        <x:v>1</x:v>
      </x:c>
      <x:c r="T71" s="12" t="str">
        <x:v>Ứng dụng riêng của cửa hàng</x:v>
      </x:c>
      <x:c r="U71" s="12" t="str">
        <x:v>v800k_1199k</x:v>
      </x:c>
      <x:c r="V71" s="17" t="n">
        <x:v>1</x:v>
      </x:c>
      <x:c r="W71" s="17" t="n">
        <x:v>1</x:v>
      </x:c>
      <x:c r="X71" s="17" t="n">
        <x:v>0</x:v>
      </x:c>
      <x:c r="Y71" s="17" t="n">
        <x:v>1</x:v>
      </x:c>
      <x:c r="Z71" s="17" t="n">
        <x:v>1</x:v>
      </x:c>
      <x:c r="AA71" s="17" t="n">
        <x:v>0</x:v>
      </x:c>
      <x:c r="AB71" s="17" t="n">
        <x:v>0</x:v>
      </x:c>
      <x:c r="AC71" s="17" t="n">
        <x:v>0</x:v>
      </x:c>
      <x:c r="AD71" s="17" t="n">
        <x:v>0</x:v>
      </x:c>
      <x:c r="AE71" s="12"/>
      <x:c r="AF71" s="12" t="str">
        <x:v>photo_mismatch</x:v>
      </x:c>
      <x:c r="AG71" s="12" t="str">
        <x:v>Thiếu ảnh cận chất liệu và đường may.</x:v>
      </x:c>
      <x:c r="AH71" s="12" t="str">
        <x:v>no</x:v>
      </x:c>
      <x:c r="AI71" s="17"/>
      <x:c r="AJ71" s="17"/>
      <x:c r="AK71" s="17"/>
      <x:c r="AL71" s="17"/>
      <x:c r="AM71" s="17"/>
      <x:c r="AN71" s="17"/>
      <x:c r="AO71" s="17"/>
      <x:c r="AP71" s="17"/>
      <x:c r="AQ71" s="12"/>
      <x:c r="AR71" s="17" t="n">
        <x:v>0</x:v>
      </x:c>
      <x:c r="AS71" s="17" t="n">
        <x:v>0</x:v>
      </x:c>
      <x:c r="AT71" s="17" t="n">
        <x:v>0</x:v>
      </x:c>
      <x:c r="AU71" s="17" t="n">
        <x:v>1</x:v>
      </x:c>
      <x:c r="AV71" s="17" t="n">
        <x:v>0</x:v>
      </x:c>
      <x:c r="AW71" s="17" t="n">
        <x:v>1</x:v>
      </x:c>
      <x:c r="AX71" s="17" t="n">
        <x:v>0</x:v>
      </x:c>
      <x:c r="AY71" s="17" t="n">
        <x:v>1</x:v>
      </x:c>
      <x:c r="AZ71" s="17" t="n">
        <x:v>0</x:v>
      </x:c>
      <x:c r="BA71" s="12"/>
      <x:c r="BB71" s="12" t="str">
        <x:v>cannot_recall</x:v>
      </x:c>
      <x:c r="BC71" s="12" t="str">
        <x:v>Không nhớ rõ cách thanh toán của lần gần nhất.</x:v>
      </x:c>
      <x:c r="BD71" s="12" t="str">
        <x:v>register_now</x:v>
      </x:c>
      <x:c r="BE71" s="17" t="n">
        <x:v>0</x:v>
      </x:c>
      <x:c r="BF71" s="17" t="n">
        <x:v>1</x:v>
      </x:c>
      <x:c r="BG71" s="17" t="n">
        <x:v>1</x:v>
      </x:c>
      <x:c r="BH71" s="17" t="n">
        <x:v>1</x:v>
      </x:c>
      <x:c r="BI71" s="17" t="n">
        <x:v>1</x:v>
      </x:c>
      <x:c r="BJ71" s="17" t="n">
        <x:v>0</x:v>
      </x:c>
      <x:c r="BK71" s="17" t="n">
        <x:v>0</x:v>
      </x:c>
      <x:c r="BL71" s="12" t="str">
        <x:v>fairly_willing</x:v>
      </x:c>
      <x:c r="BM71" s="12" t="str">
        <x:v>Bổ sung ảnh cận chất liệu dưới ánh sáng thường.</x:v>
      </x:c>
    </x:row>
    <x:row r="72" ht="64" customHeight="1">
      <x:c r="A72" s="11" t="str">
        <x:v>SYN-PH-067</x:v>
      </x:c>
      <x:c r="B72" s="11" t="str">
        <x:v>SYN</x:v>
      </x:c>
      <x:c r="C72" s="11" t="str">
        <x:v>N5</x:v>
      </x:c>
      <x:c r="D72" s="14" t="n">
        <x:v>8.6</x:v>
      </x:c>
      <x:c r="E72" s="16" t="n">
        <x:v>1</x:v>
      </x:c>
      <x:c r="F72" s="16" t="n">
        <x:v>1</x:v>
      </x:c>
      <x:c r="G72" s="11" t="str">
        <x:v>valid</x:v>
      </x:c>
      <x:c r="H72" s="11"/>
      <x:c r="I72" s="11"/>
      <x:c r="J72" s="11" t="str">
        <x:v>yes</x:v>
      </x:c>
      <x:c r="K72" s="11" t="str">
        <x:v>age_18_24</x:v>
      </x:c>
      <x:c r="L72" s="11" t="str">
        <x:v>yes</x:v>
      </x:c>
      <x:c r="M72" s="11" t="str">
        <x:v>hanoi</x:v>
      </x:c>
      <x:c r="N72" s="11" t="str">
        <x:v>monthly_2_3</x:v>
      </x:c>
      <x:c r="O72" s="16" t="n">
        <x:v>1</x:v>
      </x:c>
      <x:c r="P72" s="16" t="n">
        <x:v>1</x:v>
      </x:c>
      <x:c r="Q72" s="16" t="n">
        <x:v>0</x:v>
      </x:c>
      <x:c r="R72" s="16" t="n">
        <x:v>0</x:v>
      </x:c>
      <x:c r="S72" s="16" t="n">
        <x:v>0</x:v>
      </x:c>
      <x:c r="T72" s="11"/>
      <x:c r="U72" s="11" t="str">
        <x:v>v300k_499k</x:v>
      </x:c>
      <x:c r="V72" s="16" t="n">
        <x:v>0</x:v>
      </x:c>
      <x:c r="W72" s="16" t="n">
        <x:v>1</x:v>
      </x:c>
      <x:c r="X72" s="16" t="n">
        <x:v>1</x:v>
      </x:c>
      <x:c r="Y72" s="16" t="n">
        <x:v>1</x:v>
      </x:c>
      <x:c r="Z72" s="16" t="n">
        <x:v>0</x:v>
      </x:c>
      <x:c r="AA72" s="16" t="n">
        <x:v>0</x:v>
      </x:c>
      <x:c r="AB72" s="16" t="n">
        <x:v>0</x:v>
      </x:c>
      <x:c r="AC72" s="16" t="n">
        <x:v>0</x:v>
      </x:c>
      <x:c r="AD72" s="16" t="n">
        <x:v>0</x:v>
      </x:c>
      <x:c r="AE72" s="11"/>
      <x:c r="AF72" s="11" t="str">
        <x:v>returns_unclear</x:v>
      </x:c>
      <x:c r="AG72" s="11" t="str">
        <x:v>Chính sách đổi hàng không nêu trường hợp mặc thử.</x:v>
      </x:c>
      <x:c r="AH72" s="11" t="str">
        <x:v>yes</x:v>
      </x:c>
      <x:c r="AI72" s="16" t="n">
        <x:v>1</x:v>
      </x:c>
      <x:c r="AJ72" s="16" t="n">
        <x:v>0</x:v>
      </x:c>
      <x:c r="AK72" s="16" t="n">
        <x:v>0</x:v>
      </x:c>
      <x:c r="AL72" s="16" t="n">
        <x:v>0</x:v>
      </x:c>
      <x:c r="AM72" s="16" t="n">
        <x:v>0</x:v>
      </x:c>
      <x:c r="AN72" s="16" t="n">
        <x:v>0</x:v>
      </x:c>
      <x:c r="AO72" s="16" t="n">
        <x:v>0</x:v>
      </x:c>
      <x:c r="AP72" s="16" t="n">
        <x:v>0</x:v>
      </x:c>
      <x:c r="AQ72" s="11"/>
      <x:c r="AR72" s="16" t="n">
        <x:v>0</x:v>
      </x:c>
      <x:c r="AS72" s="16" t="n">
        <x:v>0</x:v>
      </x:c>
      <x:c r="AT72" s="16" t="n">
        <x:v>1</x:v>
      </x:c>
      <x:c r="AU72" s="16" t="n">
        <x:v>0</x:v>
      </x:c>
      <x:c r="AV72" s="16" t="n">
        <x:v>0</x:v>
      </x:c>
      <x:c r="AW72" s="16" t="n">
        <x:v>0</x:v>
      </x:c>
      <x:c r="AX72" s="16" t="n">
        <x:v>1</x:v>
      </x:c>
      <x:c r="AY72" s="16" t="n">
        <x:v>0</x:v>
      </x:c>
      <x:c r="AZ72" s="16" t="n">
        <x:v>0</x:v>
      </x:c>
      <x:c r="BA72" s="11"/>
      <x:c r="BB72" s="11" t="str">
        <x:v>cannot_recall</x:v>
      </x:c>
      <x:c r="BC72" s="11" t="str">
        <x:v>Không nhớ rõ cách thanh toán của lần gần nhất.</x:v>
      </x:c>
      <x:c r="BD72" s="11" t="str">
        <x:v>register_now</x:v>
      </x:c>
      <x:c r="BE72" s="16" t="n">
        <x:v>1</x:v>
      </x:c>
      <x:c r="BF72" s="16" t="n">
        <x:v>1</x:v>
      </x:c>
      <x:c r="BG72" s="16" t="n">
        <x:v>1</x:v>
      </x:c>
      <x:c r="BH72" s="16" t="n">
        <x:v>1</x:v>
      </x:c>
      <x:c r="BI72" s="16" t="n">
        <x:v>1</x:v>
      </x:c>
      <x:c r="BJ72" s="16" t="n">
        <x:v>1</x:v>
      </x:c>
      <x:c r="BK72" s="16" t="n">
        <x:v>0</x:v>
      </x:c>
      <x:c r="BL72" s="11" t="str">
        <x:v>very_willing</x:v>
      </x:c>
      <x:c r="BM72" s="11" t="str">
        <x:v>Giải thích các bước đổi hàng và phí phát sinh.</x:v>
      </x:c>
    </x:row>
    <x:row r="73" ht="64" customHeight="1">
      <x:c r="A73" s="12" t="str">
        <x:v>SYN-PH-068</x:v>
      </x:c>
      <x:c r="B73" s="12" t="str">
        <x:v>SYN</x:v>
      </x:c>
      <x:c r="C73" s="12" t="str">
        <x:v>N5</x:v>
      </x:c>
      <x:c r="D73" s="15" t="n">
        <x:v>7.9</x:v>
      </x:c>
      <x:c r="E73" s="17" t="n">
        <x:v>1</x:v>
      </x:c>
      <x:c r="F73" s="17" t="n">
        <x:v>1</x:v>
      </x:c>
      <x:c r="G73" s="12" t="str">
        <x:v>valid</x:v>
      </x:c>
      <x:c r="H73" s="12"/>
      <x:c r="I73" s="12"/>
      <x:c r="J73" s="12" t="str">
        <x:v>yes</x:v>
      </x:c>
      <x:c r="K73" s="12" t="str">
        <x:v>age_18_24</x:v>
      </x:c>
      <x:c r="L73" s="12" t="str">
        <x:v>yes</x:v>
      </x:c>
      <x:c r="M73" s="12" t="str">
        <x:v>hcm</x:v>
      </x:c>
      <x:c r="N73" s="12" t="str">
        <x:v>monthly</x:v>
      </x:c>
      <x:c r="O73" s="17" t="n">
        <x:v>0</x:v>
      </x:c>
      <x:c r="P73" s="17" t="n">
        <x:v>1</x:v>
      </x:c>
      <x:c r="Q73" s="17" t="n">
        <x:v>1</x:v>
      </x:c>
      <x:c r="R73" s="17" t="n">
        <x:v>1</x:v>
      </x:c>
      <x:c r="S73" s="17" t="n">
        <x:v>0</x:v>
      </x:c>
      <x:c r="T73" s="12"/>
      <x:c r="U73" s="12" t="str">
        <x:v>v800k_1199k</x:v>
      </x:c>
      <x:c r="V73" s="17" t="n">
        <x:v>0</x:v>
      </x:c>
      <x:c r="W73" s="17" t="n">
        <x:v>0</x:v>
      </x:c>
      <x:c r="X73" s="17" t="n">
        <x:v>0</x:v>
      </x:c>
      <x:c r="Y73" s="17" t="n">
        <x:v>0</x:v>
      </x:c>
      <x:c r="Z73" s="17" t="n">
        <x:v>0</x:v>
      </x:c>
      <x:c r="AA73" s="17" t="n">
        <x:v>0</x:v>
      </x:c>
      <x:c r="AB73" s="17" t="n">
        <x:v>1</x:v>
      </x:c>
      <x:c r="AC73" s="17" t="n">
        <x:v>0</x:v>
      </x:c>
      <x:c r="AD73" s="17" t="n">
        <x:v>0</x:v>
      </x:c>
      <x:c r="AE73" s="12"/>
      <x:c r="AF73" s="12" t="str">
        <x:v>payment_concern</x:v>
      </x:c>
      <x:c r="AG73" s="12" t="str">
        <x:v>Cần nhận diện rõ nơi xử lý thanh toán trước khi tiếp tục.</x:v>
      </x:c>
      <x:c r="AH73" s="12" t="str">
        <x:v>yes</x:v>
      </x:c>
      <x:c r="AI73" s="17" t="n">
        <x:v>0</x:v>
      </x:c>
      <x:c r="AJ73" s="17" t="n">
        <x:v>0</x:v>
      </x:c>
      <x:c r="AK73" s="17" t="n">
        <x:v>0</x:v>
      </x:c>
      <x:c r="AL73" s="17" t="n">
        <x:v>0</x:v>
      </x:c>
      <x:c r="AM73" s="17" t="n">
        <x:v>0</x:v>
      </x:c>
      <x:c r="AN73" s="17" t="n">
        <x:v>1</x:v>
      </x:c>
      <x:c r="AO73" s="17" t="n">
        <x:v>0</x:v>
      </x:c>
      <x:c r="AP73" s="17" t="n">
        <x:v>0</x:v>
      </x:c>
      <x:c r="AQ73" s="12"/>
      <x:c r="AR73" s="17" t="n">
        <x:v>0</x:v>
      </x:c>
      <x:c r="AS73" s="17" t="n">
        <x:v>0</x:v>
      </x:c>
      <x:c r="AT73" s="17" t="n">
        <x:v>0</x:v>
      </x:c>
      <x:c r="AU73" s="17" t="n">
        <x:v>1</x:v>
      </x:c>
      <x:c r="AV73" s="17" t="n">
        <x:v>0</x:v>
      </x:c>
      <x:c r="AW73" s="17" t="n">
        <x:v>0</x:v>
      </x:c>
      <x:c r="AX73" s="17" t="n">
        <x:v>0</x:v>
      </x:c>
      <x:c r="AY73" s="17" t="n">
        <x:v>1</x:v>
      </x:c>
      <x:c r="AZ73" s="17" t="n">
        <x:v>0</x:v>
      </x:c>
      <x:c r="BA73" s="12"/>
      <x:c r="BB73" s="12" t="str">
        <x:v>cod</x:v>
      </x:c>
      <x:c r="BC73" s="12" t="str">
        <x:v>Thuận tiện với cách nhận hàng gần đây.</x:v>
      </x:c>
      <x:c r="BD73" s="12" t="str">
        <x:v>depends_on_benefits</x:v>
      </x:c>
      <x:c r="BE73" s="17" t="n">
        <x:v>1</x:v>
      </x:c>
      <x:c r="BF73" s="17" t="n">
        <x:v>0</x:v>
      </x:c>
      <x:c r="BG73" s="17" t="n">
        <x:v>1</x:v>
      </x:c>
      <x:c r="BH73" s="17" t="n">
        <x:v>1</x:v>
      </x:c>
      <x:c r="BI73" s="17" t="n">
        <x:v>1</x:v>
      </x:c>
      <x:c r="BJ73" s="17" t="n">
        <x:v>1</x:v>
      </x:c>
      <x:c r="BK73" s="17" t="n">
        <x:v>1</x:v>
      </x:c>
      <x:c r="BL73" s="12" t="str">
        <x:v>fairly_willing</x:v>
      </x:c>
      <x:c r="BM73" s="12" t="str">
        <x:v>Có xác nhận rõ kết quả thanh toán và hướng dẫn khi lỗi.</x:v>
      </x:c>
    </x:row>
    <x:row r="74" ht="64" customHeight="1">
      <x:c r="A74" s="11" t="str">
        <x:v>SYN-PH-069</x:v>
      </x:c>
      <x:c r="B74" s="11" t="str">
        <x:v>SYN</x:v>
      </x:c>
      <x:c r="C74" s="11" t="str">
        <x:v>N5</x:v>
      </x:c>
      <x:c r="D74" s="14" t="n">
        <x:v>0.8</x:v>
      </x:c>
      <x:c r="E74" s="16" t="n">
        <x:v>0</x:v>
      </x:c>
      <x:c r="F74" s="16" t="n">
        <x:v>0</x:v>
      </x:c>
      <x:c r="G74" s="11" t="str">
        <x:v>excluded</x:v>
      </x:c>
      <x:c r="H74" s="11" t="str">
        <x:v>no_recent_purchase</x:v>
      </x:c>
      <x:c r="I74" s="11"/>
      <x:c r="J74" s="11" t="str">
        <x:v>yes</x:v>
      </x:c>
      <x:c r="K74" s="11" t="str">
        <x:v>age_18_24</x:v>
      </x:c>
      <x:c r="L74" s="11" t="str">
        <x:v>no</x:v>
      </x:c>
      <x:c r="M74" s="11"/>
      <x:c r="N74" s="11"/>
      <x:c r="O74" s="16"/>
      <x:c r="P74" s="16"/>
      <x:c r="Q74" s="16"/>
      <x:c r="R74" s="16"/>
      <x:c r="S74" s="16"/>
      <x:c r="T74" s="11"/>
      <x:c r="U74" s="11"/>
      <x:c r="V74" s="16"/>
      <x:c r="W74" s="16"/>
      <x:c r="X74" s="16"/>
      <x:c r="Y74" s="16"/>
      <x:c r="Z74" s="16"/>
      <x:c r="AA74" s="16"/>
      <x:c r="AB74" s="16"/>
      <x:c r="AC74" s="16"/>
      <x:c r="AD74" s="16"/>
      <x:c r="AE74" s="11"/>
      <x:c r="AF74" s="11"/>
      <x:c r="AG74" s="11"/>
      <x:c r="AH74" s="11"/>
      <x:c r="AI74" s="16"/>
      <x:c r="AJ74" s="16"/>
      <x:c r="AK74" s="16"/>
      <x:c r="AL74" s="16"/>
      <x:c r="AM74" s="16"/>
      <x:c r="AN74" s="16"/>
      <x:c r="AO74" s="16"/>
      <x:c r="AP74" s="16"/>
      <x:c r="AQ74" s="11"/>
      <x:c r="AR74" s="16"/>
      <x:c r="AS74" s="16"/>
      <x:c r="AT74" s="16"/>
      <x:c r="AU74" s="16"/>
      <x:c r="AV74" s="16"/>
      <x:c r="AW74" s="16"/>
      <x:c r="AX74" s="16"/>
      <x:c r="AY74" s="16"/>
      <x:c r="AZ74" s="16"/>
      <x:c r="BA74" s="11"/>
      <x:c r="BB74" s="11"/>
      <x:c r="BC74" s="11"/>
      <x:c r="BD74" s="11"/>
      <x:c r="BE74" s="16"/>
      <x:c r="BF74" s="16"/>
      <x:c r="BG74" s="16"/>
      <x:c r="BH74" s="16"/>
      <x:c r="BI74" s="16"/>
      <x:c r="BJ74" s="16"/>
      <x:c r="BK74" s="16"/>
      <x:c r="BL74" s="11"/>
      <x:c r="BM74" s="11"/>
    </x:row>
    <x:row r="75" ht="64" customHeight="1">
      <x:c r="A75" s="12" t="str">
        <x:v>SYN-PH-070</x:v>
      </x:c>
      <x:c r="B75" s="12" t="str">
        <x:v>SYN</x:v>
      </x:c>
      <x:c r="C75" s="12" t="str">
        <x:v>N5</x:v>
      </x:c>
      <x:c r="D75" s="15" t="n">
        <x:v>7.3</x:v>
      </x:c>
      <x:c r="E75" s="17" t="n">
        <x:v>1</x:v>
      </x:c>
      <x:c r="F75" s="17" t="n">
        <x:v>1</x:v>
      </x:c>
      <x:c r="G75" s="12" t="str">
        <x:v>valid</x:v>
      </x:c>
      <x:c r="H75" s="12"/>
      <x:c r="I75" s="12"/>
      <x:c r="J75" s="12" t="str">
        <x:v>yes</x:v>
      </x:c>
      <x:c r="K75" s="12" t="str">
        <x:v>age_25_34</x:v>
      </x:c>
      <x:c r="L75" s="12" t="str">
        <x:v>yes</x:v>
      </x:c>
      <x:c r="M75" s="12" t="str">
        <x:v>hanoi</x:v>
      </x:c>
      <x:c r="N75" s="12" t="str">
        <x:v>monthly</x:v>
      </x:c>
      <x:c r="O75" s="17" t="n">
        <x:v>1</x:v>
      </x:c>
      <x:c r="P75" s="17" t="n">
        <x:v>1</x:v>
      </x:c>
      <x:c r="Q75" s="17" t="n">
        <x:v>0</x:v>
      </x:c>
      <x:c r="R75" s="17" t="n">
        <x:v>0</x:v>
      </x:c>
      <x:c r="S75" s="17" t="n">
        <x:v>1</x:v>
      </x:c>
      <x:c r="T75" s="12" t="str">
        <x:v>Ứng dụng riêng của cửa hàng</x:v>
      </x:c>
      <x:c r="U75" s="12" t="str">
        <x:v>at_least_1200k</x:v>
      </x:c>
      <x:c r="V75" s="17" t="n">
        <x:v>0</x:v>
      </x:c>
      <x:c r="W75" s="17" t="n">
        <x:v>1</x:v>
      </x:c>
      <x:c r="X75" s="17" t="n">
        <x:v>1</x:v>
      </x:c>
      <x:c r="Y75" s="17" t="n">
        <x:v>1</x:v>
      </x:c>
      <x:c r="Z75" s="17" t="n">
        <x:v>1</x:v>
      </x:c>
      <x:c r="AA75" s="17" t="n">
        <x:v>0</x:v>
      </x:c>
      <x:c r="AB75" s="17" t="n">
        <x:v>1</x:v>
      </x:c>
      <x:c r="AC75" s="17" t="n">
        <x:v>0</x:v>
      </x:c>
      <x:c r="AD75" s="17" t="n">
        <x:v>0</x:v>
      </x:c>
      <x:c r="AE75" s="12"/>
      <x:c r="AF75" s="12" t="str">
        <x:v>payment_concern</x:v>
      </x:c>
      <x:c r="AG75" s="12" t="str">
        <x:v>Cần nhận diện rõ nơi xử lý thanh toán trước khi tiếp tục.</x:v>
      </x:c>
      <x:c r="AH75" s="12" t="str">
        <x:v>yes</x:v>
      </x:c>
      <x:c r="AI75" s="17" t="n">
        <x:v>1</x:v>
      </x:c>
      <x:c r="AJ75" s="17" t="n">
        <x:v>1</x:v>
      </x:c>
      <x:c r="AK75" s="17" t="n">
        <x:v>1</x:v>
      </x:c>
      <x:c r="AL75" s="17" t="n">
        <x:v>0</x:v>
      </x:c>
      <x:c r="AM75" s="17" t="n">
        <x:v>0</x:v>
      </x:c>
      <x:c r="AN75" s="17" t="n">
        <x:v>0</x:v>
      </x:c>
      <x:c r="AO75" s="17" t="n">
        <x:v>0</x:v>
      </x:c>
      <x:c r="AP75" s="17" t="n">
        <x:v>0</x:v>
      </x:c>
      <x:c r="AQ75" s="12"/>
      <x:c r="AR75" s="17" t="n">
        <x:v>0</x:v>
      </x:c>
      <x:c r="AS75" s="17" t="n">
        <x:v>0</x:v>
      </x:c>
      <x:c r="AT75" s="17" t="n">
        <x:v>0</x:v>
      </x:c>
      <x:c r="AU75" s="17" t="n">
        <x:v>0</x:v>
      </x:c>
      <x:c r="AV75" s="17" t="n">
        <x:v>1</x:v>
      </x:c>
      <x:c r="AW75" s="17" t="n">
        <x:v>1</x:v>
      </x:c>
      <x:c r="AX75" s="17" t="n">
        <x:v>0</x:v>
      </x:c>
      <x:c r="AY75" s="17" t="n">
        <x:v>1</x:v>
      </x:c>
      <x:c r="AZ75" s="17" t="n">
        <x:v>0</x:v>
      </x:c>
      <x:c r="BA75" s="12"/>
      <x:c r="BB75" s="12" t="str">
        <x:v>cod</x:v>
      </x:c>
      <x:c r="BC75" s="12" t="str">
        <x:v>Thuận tiện với cách nhận hàng gần đây.</x:v>
      </x:c>
      <x:c r="BD75" s="12" t="str">
        <x:v>depends_on_benefits</x:v>
      </x:c>
      <x:c r="BE75" s="17" t="n">
        <x:v>1</x:v>
      </x:c>
      <x:c r="BF75" s="17" t="n">
        <x:v>1</x:v>
      </x:c>
      <x:c r="BG75" s="17" t="n">
        <x:v>1</x:v>
      </x:c>
      <x:c r="BH75" s="17" t="n">
        <x:v>0</x:v>
      </x:c>
      <x:c r="BI75" s="17" t="n">
        <x:v>1</x:v>
      </x:c>
      <x:c r="BJ75" s="17" t="n">
        <x:v>1</x:v>
      </x:c>
      <x:c r="BK75" s="17" t="n">
        <x:v>1</x:v>
      </x:c>
      <x:c r="BL75" s="12" t="str">
        <x:v>fairly_willing</x:v>
      </x:c>
      <x:c r="BM75" s="12" t="str">
        <x:v>Cho tra cứu trạng thái đơn sau khi thanh toán bị gián đoạn.</x:v>
      </x:c>
    </x:row>
    <x:row r="76" ht="64" customHeight="1">
      <x:c r="A76" s="11" t="str">
        <x:v>SYN-PH-071</x:v>
      </x:c>
      <x:c r="B76" s="11" t="str">
        <x:v>SYN</x:v>
      </x:c>
      <x:c r="C76" s="11" t="str">
        <x:v>N5</x:v>
      </x:c>
      <x:c r="D76" s="14" t="n">
        <x:v>11.9</x:v>
      </x:c>
      <x:c r="E76" s="16" t="n">
        <x:v>1</x:v>
      </x:c>
      <x:c r="F76" s="16" t="n">
        <x:v>1</x:v>
      </x:c>
      <x:c r="G76" s="11" t="str">
        <x:v>valid</x:v>
      </x:c>
      <x:c r="H76" s="11"/>
      <x:c r="I76" s="11"/>
      <x:c r="J76" s="11" t="str">
        <x:v>yes</x:v>
      </x:c>
      <x:c r="K76" s="11" t="str">
        <x:v>age_18_24</x:v>
      </x:c>
      <x:c r="L76" s="11" t="str">
        <x:v>yes</x:v>
      </x:c>
      <x:c r="M76" s="11" t="str">
        <x:v>hcm</x:v>
      </x:c>
      <x:c r="N76" s="11" t="str">
        <x:v>monthly</x:v>
      </x:c>
      <x:c r="O76" s="16" t="n">
        <x:v>1</x:v>
      </x:c>
      <x:c r="P76" s="16" t="n">
        <x:v>0</x:v>
      </x:c>
      <x:c r="Q76" s="16" t="n">
        <x:v>0</x:v>
      </x:c>
      <x:c r="R76" s="16" t="n">
        <x:v>0</x:v>
      </x:c>
      <x:c r="S76" s="16" t="n">
        <x:v>0</x:v>
      </x:c>
      <x:c r="T76" s="11"/>
      <x:c r="U76" s="11" t="str">
        <x:v>under_300k</x:v>
      </x:c>
      <x:c r="V76" s="16" t="n">
        <x:v>1</x:v>
      </x:c>
      <x:c r="W76" s="16" t="n">
        <x:v>0</x:v>
      </x:c>
      <x:c r="X76" s="16" t="n">
        <x:v>0</x:v>
      </x:c>
      <x:c r="Y76" s="16" t="n">
        <x:v>0</x:v>
      </x:c>
      <x:c r="Z76" s="16" t="n">
        <x:v>0</x:v>
      </x:c>
      <x:c r="AA76" s="16" t="n">
        <x:v>0</x:v>
      </x:c>
      <x:c r="AB76" s="16" t="n">
        <x:v>0</x:v>
      </x:c>
      <x:c r="AC76" s="16" t="n">
        <x:v>0</x:v>
      </x:c>
      <x:c r="AD76" s="16" t="n">
        <x:v>0</x:v>
      </x:c>
      <x:c r="AE76" s="11"/>
      <x:c r="AF76" s="11" t="str">
        <x:v>size_uncertain</x:v>
      </x:c>
      <x:c r="AG76" s="11" t="str">
        <x:v>Bảng size chỉ có S/M/L nên khó so với số đo áo đang mặc.</x:v>
      </x:c>
      <x:c r="AH76" s="11" t="str">
        <x:v>yes</x:v>
      </x:c>
      <x:c r="AI76" s="16" t="n">
        <x:v>1</x:v>
      </x:c>
      <x:c r="AJ76" s="16" t="n">
        <x:v>0</x:v>
      </x:c>
      <x:c r="AK76" s="16" t="n">
        <x:v>0</x:v>
      </x:c>
      <x:c r="AL76" s="16" t="n">
        <x:v>1</x:v>
      </x:c>
      <x:c r="AM76" s="16" t="n">
        <x:v>0</x:v>
      </x:c>
      <x:c r="AN76" s="16" t="n">
        <x:v>0</x:v>
      </x:c>
      <x:c r="AO76" s="16" t="n">
        <x:v>0</x:v>
      </x:c>
      <x:c r="AP76" s="16" t="n">
        <x:v>0</x:v>
      </x:c>
      <x:c r="AQ76" s="11"/>
      <x:c r="AR76" s="16" t="n">
        <x:v>0</x:v>
      </x:c>
      <x:c r="AS76" s="16" t="n">
        <x:v>1</x:v>
      </x:c>
      <x:c r="AT76" s="16" t="n">
        <x:v>0</x:v>
      </x:c>
      <x:c r="AU76" s="16" t="n">
        <x:v>1</x:v>
      </x:c>
      <x:c r="AV76" s="16" t="n">
        <x:v>0</x:v>
      </x:c>
      <x:c r="AW76" s="16" t="n">
        <x:v>0</x:v>
      </x:c>
      <x:c r="AX76" s="16" t="n">
        <x:v>1</x:v>
      </x:c>
      <x:c r="AY76" s="16" t="n">
        <x:v>0</x:v>
      </x:c>
      <x:c r="AZ76" s="16" t="n">
        <x:v>0</x:v>
      </x:c>
      <x:c r="BA76" s="11"/>
      <x:c r="BB76" s="11" t="str">
        <x:v>prepaid</x:v>
      </x:c>
      <x:c r="BC76" s="11" t="str">
        <x:v>Đã quen thao tác thanh toán trước.</x:v>
      </x:c>
      <x:c r="BD76" s="11" t="str">
        <x:v>guest</x:v>
      </x:c>
      <x:c r="BE76" s="16" t="n">
        <x:v>0</x:v>
      </x:c>
      <x:c r="BF76" s="16" t="n">
        <x:v>1</x:v>
      </x:c>
      <x:c r="BG76" s="16" t="n">
        <x:v>0</x:v>
      </x:c>
      <x:c r="BH76" s="16" t="n">
        <x:v>1</x:v>
      </x:c>
      <x:c r="BI76" s="16" t="n">
        <x:v>0</x:v>
      </x:c>
      <x:c r="BJ76" s="16" t="n">
        <x:v>0</x:v>
      </x:c>
      <x:c r="BK76" s="16" t="n">
        <x:v>0</x:v>
      </x:c>
      <x:c r="BL76" s="11" t="str">
        <x:v>less_willing</x:v>
      </x:c>
      <x:c r="BM76" s="11" t="str">
        <x:v>Ghi rõ phom áo và số đo người mẫu.</x:v>
      </x:c>
    </x:row>
    <x:row r="77" ht="64" customHeight="1">
      <x:c r="A77" s="12" t="str">
        <x:v>SYN-PH-072</x:v>
      </x:c>
      <x:c r="B77" s="12" t="str">
        <x:v>SYN</x:v>
      </x:c>
      <x:c r="C77" s="12" t="str">
        <x:v>N5</x:v>
      </x:c>
      <x:c r="D77" s="15" t="n">
        <x:v>10.6</x:v>
      </x:c>
      <x:c r="E77" s="17" t="n">
        <x:v>1</x:v>
      </x:c>
      <x:c r="F77" s="17" t="n">
        <x:v>1</x:v>
      </x:c>
      <x:c r="G77" s="12" t="str">
        <x:v>valid</x:v>
      </x:c>
      <x:c r="H77" s="12"/>
      <x:c r="I77" s="12"/>
      <x:c r="J77" s="12" t="str">
        <x:v>yes</x:v>
      </x:c>
      <x:c r="K77" s="12" t="str">
        <x:v>age_25_34</x:v>
      </x:c>
      <x:c r="L77" s="12" t="str">
        <x:v>yes</x:v>
      </x:c>
      <x:c r="M77" s="12" t="str">
        <x:v>other_urban</x:v>
      </x:c>
      <x:c r="N77" s="12" t="str">
        <x:v>monthly_2_3</x:v>
      </x:c>
      <x:c r="O77" s="17" t="n">
        <x:v>0</x:v>
      </x:c>
      <x:c r="P77" s="17" t="n">
        <x:v>1</x:v>
      </x:c>
      <x:c r="Q77" s="17" t="n">
        <x:v>1</x:v>
      </x:c>
      <x:c r="R77" s="17" t="n">
        <x:v>0</x:v>
      </x:c>
      <x:c r="S77" s="17" t="n">
        <x:v>0</x:v>
      </x:c>
      <x:c r="T77" s="12"/>
      <x:c r="U77" s="12" t="str">
        <x:v>under_300k</x:v>
      </x:c>
      <x:c r="V77" s="17" t="n">
        <x:v>0</x:v>
      </x:c>
      <x:c r="W77" s="17" t="n">
        <x:v>1</x:v>
      </x:c>
      <x:c r="X77" s="17" t="n">
        <x:v>0</x:v>
      </x:c>
      <x:c r="Y77" s="17" t="n">
        <x:v>0</x:v>
      </x:c>
      <x:c r="Z77" s="17" t="n">
        <x:v>0</x:v>
      </x:c>
      <x:c r="AA77" s="17" t="n">
        <x:v>0</x:v>
      </x:c>
      <x:c r="AB77" s="17" t="n">
        <x:v>0</x:v>
      </x:c>
      <x:c r="AC77" s="17" t="n">
        <x:v>0</x:v>
      </x:c>
      <x:c r="AD77" s="17" t="n">
        <x:v>0</x:v>
      </x:c>
      <x:c r="AE77" s="12"/>
      <x:c r="AF77" s="12" t="str">
        <x:v>photo_mismatch</x:v>
      </x:c>
      <x:c r="AG77" s="12" t="str">
        <x:v>Màu trong ảnh và mô tả thiếu thông tin dưới ánh sáng thường.</x:v>
      </x:c>
      <x:c r="AH77" s="12" t="str">
        <x:v>no</x:v>
      </x:c>
      <x:c r="AI77" s="17"/>
      <x:c r="AJ77" s="17"/>
      <x:c r="AK77" s="17"/>
      <x:c r="AL77" s="17"/>
      <x:c r="AM77" s="17"/>
      <x:c r="AN77" s="17"/>
      <x:c r="AO77" s="17"/>
      <x:c r="AP77" s="17"/>
      <x:c r="AQ77" s="12"/>
      <x:c r="AR77" s="17" t="n">
        <x:v>1</x:v>
      </x:c>
      <x:c r="AS77" s="17" t="n">
        <x:v>0</x:v>
      </x:c>
      <x:c r="AT77" s="17" t="n">
        <x:v>1</x:v>
      </x:c>
      <x:c r="AU77" s="17" t="n">
        <x:v>1</x:v>
      </x:c>
      <x:c r="AV77" s="17" t="n">
        <x:v>0</x:v>
      </x:c>
      <x:c r="AW77" s="17" t="n">
        <x:v>0</x:v>
      </x:c>
      <x:c r="AX77" s="17" t="n">
        <x:v>0</x:v>
      </x:c>
      <x:c r="AY77" s="17" t="n">
        <x:v>0</x:v>
      </x:c>
      <x:c r="AZ77" s="17" t="n">
        <x:v>0</x:v>
      </x:c>
      <x:c r="BA77" s="12"/>
      <x:c r="BB77" s="12" t="str">
        <x:v>cod</x:v>
      </x:c>
      <x:c r="BC77" s="12" t="str">
        <x:v>Thuận tiện với cách nhận hàng gần đây.</x:v>
      </x:c>
      <x:c r="BD77" s="12" t="str">
        <x:v>register_now</x:v>
      </x:c>
      <x:c r="BE77" s="17" t="n">
        <x:v>1</x:v>
      </x:c>
      <x:c r="BF77" s="17" t="n">
        <x:v>0</x:v>
      </x:c>
      <x:c r="BG77" s="17" t="n">
        <x:v>0</x:v>
      </x:c>
      <x:c r="BH77" s="17" t="n">
        <x:v>1</x:v>
      </x:c>
      <x:c r="BI77" s="17" t="n">
        <x:v>1</x:v>
      </x:c>
      <x:c r="BJ77" s="17" t="n">
        <x:v>1</x:v>
      </x:c>
      <x:c r="BK77" s="17" t="n">
        <x:v>1</x:v>
      </x:c>
      <x:c r="BL77" s="12" t="str">
        <x:v>neutral</x:v>
      </x:c>
      <x:c r="BM77" s="12" t="str">
        <x:v>Bổ sung ảnh cận chất liệu dưới ánh sáng thường.</x:v>
      </x:c>
    </x:row>
    <x:row r="78" ht="64" customHeight="1">
      <x:c r="A78" s="11" t="str">
        <x:v>SYN-PH-073</x:v>
      </x:c>
      <x:c r="B78" s="11" t="str">
        <x:v>SYN</x:v>
      </x:c>
      <x:c r="C78" s="11" t="str">
        <x:v>N5</x:v>
      </x:c>
      <x:c r="D78" s="14" t="n">
        <x:v>10.5</x:v>
      </x:c>
      <x:c r="E78" s="16" t="n">
        <x:v>1</x:v>
      </x:c>
      <x:c r="F78" s="16" t="n">
        <x:v>1</x:v>
      </x:c>
      <x:c r="G78" s="11" t="str">
        <x:v>valid</x:v>
      </x:c>
      <x:c r="H78" s="11"/>
      <x:c r="I78" s="11"/>
      <x:c r="J78" s="11" t="str">
        <x:v>yes</x:v>
      </x:c>
      <x:c r="K78" s="11" t="str">
        <x:v>age_25_34</x:v>
      </x:c>
      <x:c r="L78" s="11" t="str">
        <x:v>yes</x:v>
      </x:c>
      <x:c r="M78" s="11" t="str">
        <x:v>nonurban</x:v>
      </x:c>
      <x:c r="N78" s="11" t="str">
        <x:v>monthly</x:v>
      </x:c>
      <x:c r="O78" s="16" t="n">
        <x:v>1</x:v>
      </x:c>
      <x:c r="P78" s="16" t="n">
        <x:v>1</x:v>
      </x:c>
      <x:c r="Q78" s="16" t="n">
        <x:v>0</x:v>
      </x:c>
      <x:c r="R78" s="16" t="n">
        <x:v>1</x:v>
      </x:c>
      <x:c r="S78" s="16" t="n">
        <x:v>0</x:v>
      </x:c>
      <x:c r="T78" s="11"/>
      <x:c r="U78" s="11" t="str">
        <x:v>under_300k</x:v>
      </x:c>
      <x:c r="V78" s="16" t="n">
        <x:v>1</x:v>
      </x:c>
      <x:c r="W78" s="16" t="n">
        <x:v>1</x:v>
      </x:c>
      <x:c r="X78" s="16" t="n">
        <x:v>1</x:v>
      </x:c>
      <x:c r="Y78" s="16" t="n">
        <x:v>0</x:v>
      </x:c>
      <x:c r="Z78" s="16" t="n">
        <x:v>1</x:v>
      </x:c>
      <x:c r="AA78" s="16" t="n">
        <x:v>1</x:v>
      </x:c>
      <x:c r="AB78" s="16" t="n">
        <x:v>1</x:v>
      </x:c>
      <x:c r="AC78" s="16" t="n">
        <x:v>0</x:v>
      </x:c>
      <x:c r="AD78" s="16" t="n">
        <x:v>0</x:v>
      </x:c>
      <x:c r="AE78" s="11"/>
      <x:c r="AF78" s="11" t="str">
        <x:v>size_uncertain</x:v>
      </x:c>
      <x:c r="AG78" s="11" t="str">
        <x:v>Bảng size chỉ có S/M/L nên khó so với số đo áo đang mặc.</x:v>
      </x:c>
      <x:c r="AH78" s="11" t="str">
        <x:v>no</x:v>
      </x:c>
      <x:c r="AI78" s="16"/>
      <x:c r="AJ78" s="16"/>
      <x:c r="AK78" s="16"/>
      <x:c r="AL78" s="16"/>
      <x:c r="AM78" s="16"/>
      <x:c r="AN78" s="16"/>
      <x:c r="AO78" s="16"/>
      <x:c r="AP78" s="16"/>
      <x:c r="AQ78" s="11"/>
      <x:c r="AR78" s="16" t="n">
        <x:v>1</x:v>
      </x:c>
      <x:c r="AS78" s="16" t="n">
        <x:v>0</x:v>
      </x:c>
      <x:c r="AT78" s="16" t="n">
        <x:v>0</x:v>
      </x:c>
      <x:c r="AU78" s="16" t="n">
        <x:v>0</x:v>
      </x:c>
      <x:c r="AV78" s="16" t="n">
        <x:v>0</x:v>
      </x:c>
      <x:c r="AW78" s="16" t="n">
        <x:v>0</x:v>
      </x:c>
      <x:c r="AX78" s="16" t="n">
        <x:v>1</x:v>
      </x:c>
      <x:c r="AY78" s="16" t="n">
        <x:v>0</x:v>
      </x:c>
      <x:c r="AZ78" s="16" t="n">
        <x:v>1</x:v>
      </x:c>
      <x:c r="BA78" s="11" t="str">
        <x:v>Hướng dẫn bảo quản theo chất liệu</x:v>
      </x:c>
      <x:c r="BB78" s="11" t="str">
        <x:v>cod</x:v>
      </x:c>
      <x:c r="BC78" s="11" t="str">
        <x:v>Thuận tiện với cách nhận hàng gần đây.</x:v>
      </x:c>
      <x:c r="BD78" s="11" t="str">
        <x:v>guest</x:v>
      </x:c>
      <x:c r="BE78" s="16" t="n">
        <x:v>0</x:v>
      </x:c>
      <x:c r="BF78" s="16" t="n">
        <x:v>1</x:v>
      </x:c>
      <x:c r="BG78" s="16" t="n">
        <x:v>1</x:v>
      </x:c>
      <x:c r="BH78" s="16" t="n">
        <x:v>0</x:v>
      </x:c>
      <x:c r="BI78" s="16" t="n">
        <x:v>1</x:v>
      </x:c>
      <x:c r="BJ78" s="16" t="n">
        <x:v>0</x:v>
      </x:c>
      <x:c r="BK78" s="16" t="n">
        <x:v>1</x:v>
      </x:c>
      <x:c r="BL78" s="11" t="str">
        <x:v>fairly_willing</x:v>
      </x:c>
      <x:c r="BM78" s="11" t="str">
        <x:v>So sánh size giữa các mẫu quần áo.</x:v>
      </x:c>
    </x:row>
    <x:row r="79" ht="64" customHeight="1">
      <x:c r="A79" s="12" t="str">
        <x:v>SYN-PH-074</x:v>
      </x:c>
      <x:c r="B79" s="12" t="str">
        <x:v>SYN</x:v>
      </x:c>
      <x:c r="C79" s="12" t="str">
        <x:v>N5</x:v>
      </x:c>
      <x:c r="D79" s="15" t="n">
        <x:v>11.1</x:v>
      </x:c>
      <x:c r="E79" s="17" t="n">
        <x:v>1</x:v>
      </x:c>
      <x:c r="F79" s="17" t="n">
        <x:v>1</x:v>
      </x:c>
      <x:c r="G79" s="12" t="str">
        <x:v>valid</x:v>
      </x:c>
      <x:c r="H79" s="12"/>
      <x:c r="I79" s="12"/>
      <x:c r="J79" s="12" t="str">
        <x:v>yes</x:v>
      </x:c>
      <x:c r="K79" s="12" t="str">
        <x:v>age_25_34</x:v>
      </x:c>
      <x:c r="L79" s="12" t="str">
        <x:v>yes</x:v>
      </x:c>
      <x:c r="M79" s="12" t="str">
        <x:v>hcm</x:v>
      </x:c>
      <x:c r="N79" s="12" t="str">
        <x:v>monthly_2_3</x:v>
      </x:c>
      <x:c r="O79" s="17" t="n">
        <x:v>1</x:v>
      </x:c>
      <x:c r="P79" s="17" t="n">
        <x:v>0</x:v>
      </x:c>
      <x:c r="Q79" s="17" t="n">
        <x:v>0</x:v>
      </x:c>
      <x:c r="R79" s="17" t="n">
        <x:v>0</x:v>
      </x:c>
      <x:c r="S79" s="17" t="n">
        <x:v>0</x:v>
      </x:c>
      <x:c r="T79" s="12"/>
      <x:c r="U79" s="12" t="str">
        <x:v>v500k_799k</x:v>
      </x:c>
      <x:c r="V79" s="17" t="n">
        <x:v>1</x:v>
      </x:c>
      <x:c r="W79" s="17" t="n">
        <x:v>0</x:v>
      </x:c>
      <x:c r="X79" s="17" t="n">
        <x:v>1</x:v>
      </x:c>
      <x:c r="Y79" s="17" t="n">
        <x:v>0</x:v>
      </x:c>
      <x:c r="Z79" s="17" t="n">
        <x:v>0</x:v>
      </x:c>
      <x:c r="AA79" s="17" t="n">
        <x:v>0</x:v>
      </x:c>
      <x:c r="AB79" s="17" t="n">
        <x:v>0</x:v>
      </x:c>
      <x:c r="AC79" s="17" t="n">
        <x:v>0</x:v>
      </x:c>
      <x:c r="AD79" s="17" t="n">
        <x:v>0</x:v>
      </x:c>
      <x:c r="AE79" s="12"/>
      <x:c r="AF79" s="12" t="str">
        <x:v>returns_unclear</x:v>
      </x:c>
      <x:c r="AG79" s="12" t="str">
        <x:v>Khó tìm thời hạn đổi size trước khi đặt.</x:v>
      </x:c>
      <x:c r="AH79" s="12" t="str">
        <x:v>no</x:v>
      </x:c>
      <x:c r="AI79" s="17"/>
      <x:c r="AJ79" s="17"/>
      <x:c r="AK79" s="17"/>
      <x:c r="AL79" s="17"/>
      <x:c r="AM79" s="17"/>
      <x:c r="AN79" s="17"/>
      <x:c r="AO79" s="17"/>
      <x:c r="AP79" s="17"/>
      <x:c r="AQ79" s="12"/>
      <x:c r="AR79" s="17" t="n">
        <x:v>0</x:v>
      </x:c>
      <x:c r="AS79" s="17" t="n">
        <x:v>0</x:v>
      </x:c>
      <x:c r="AT79" s="17" t="n">
        <x:v>0</x:v>
      </x:c>
      <x:c r="AU79" s="17" t="n">
        <x:v>0</x:v>
      </x:c>
      <x:c r="AV79" s="17" t="n">
        <x:v>0</x:v>
      </x:c>
      <x:c r="AW79" s="17" t="n">
        <x:v>1</x:v>
      </x:c>
      <x:c r="AX79" s="17" t="n">
        <x:v>0</x:v>
      </x:c>
      <x:c r="AY79" s="17" t="n">
        <x:v>0</x:v>
      </x:c>
      <x:c r="AZ79" s="17" t="n">
        <x:v>0</x:v>
      </x:c>
      <x:c r="BA79" s="12"/>
      <x:c r="BB79" s="12" t="str">
        <x:v>cod</x:v>
      </x:c>
      <x:c r="BC79" s="12" t="str">
        <x:v>Thuận tiện với cách nhận hàng gần đây.</x:v>
      </x:c>
      <x:c r="BD79" s="12" t="str">
        <x:v>depends_on_benefits</x:v>
      </x:c>
      <x:c r="BE79" s="17" t="n">
        <x:v>1</x:v>
      </x:c>
      <x:c r="BF79" s="17" t="n">
        <x:v>1</x:v>
      </x:c>
      <x:c r="BG79" s="17" t="n">
        <x:v>1</x:v>
      </x:c>
      <x:c r="BH79" s="17" t="n">
        <x:v>1</x:v>
      </x:c>
      <x:c r="BI79" s="17" t="n">
        <x:v>1</x:v>
      </x:c>
      <x:c r="BJ79" s="17" t="n">
        <x:v>1</x:v>
      </x:c>
      <x:c r="BK79" s="17" t="n">
        <x:v>0</x:v>
      </x:c>
      <x:c r="BL79" s="12" t="str">
        <x:v>fairly_willing</x:v>
      </x:c>
      <x:c r="BM79" s="12" t="str">
        <x:v>Đưa điều kiện đổi size ngay cạnh nút mua.</x:v>
      </x:c>
    </x:row>
    <x:row r="80" ht="64" customHeight="1">
      <x:c r="A80" s="11" t="str">
        <x:v>SYN-PH-075</x:v>
      </x:c>
      <x:c r="B80" s="11" t="str">
        <x:v>SYN</x:v>
      </x:c>
      <x:c r="C80" s="11" t="str">
        <x:v>N5</x:v>
      </x:c>
      <x:c r="D80" s="14" t="n">
        <x:v>11.2</x:v>
      </x:c>
      <x:c r="E80" s="16" t="n">
        <x:v>1</x:v>
      </x:c>
      <x:c r="F80" s="16" t="n">
        <x:v>1</x:v>
      </x:c>
      <x:c r="G80" s="11" t="str">
        <x:v>valid</x:v>
      </x:c>
      <x:c r="H80" s="11"/>
      <x:c r="I80" s="11"/>
      <x:c r="J80" s="11" t="str">
        <x:v>yes</x:v>
      </x:c>
      <x:c r="K80" s="11" t="str">
        <x:v>age_18_24</x:v>
      </x:c>
      <x:c r="L80" s="11" t="str">
        <x:v>yes</x:v>
      </x:c>
      <x:c r="M80" s="11" t="str">
        <x:v>nonurban</x:v>
      </x:c>
      <x:c r="N80" s="11" t="str">
        <x:v>every_2_3_months</x:v>
      </x:c>
      <x:c r="O80" s="16" t="n">
        <x:v>1</x:v>
      </x:c>
      <x:c r="P80" s="16" t="n">
        <x:v>1</x:v>
      </x:c>
      <x:c r="Q80" s="16" t="n">
        <x:v>0</x:v>
      </x:c>
      <x:c r="R80" s="16" t="n">
        <x:v>0</x:v>
      </x:c>
      <x:c r="S80" s="16" t="n">
        <x:v>0</x:v>
      </x:c>
      <x:c r="T80" s="11"/>
      <x:c r="U80" s="11" t="str">
        <x:v>v500k_799k</x:v>
      </x:c>
      <x:c r="V80" s="16" t="n">
        <x:v>1</x:v>
      </x:c>
      <x:c r="W80" s="16" t="n">
        <x:v>0</x:v>
      </x:c>
      <x:c r="X80" s="16" t="n">
        <x:v>0</x:v>
      </x:c>
      <x:c r="Y80" s="16" t="n">
        <x:v>1</x:v>
      </x:c>
      <x:c r="Z80" s="16" t="n">
        <x:v>1</x:v>
      </x:c>
      <x:c r="AA80" s="16" t="n">
        <x:v>1</x:v>
      </x:c>
      <x:c r="AB80" s="16" t="n">
        <x:v>0</x:v>
      </x:c>
      <x:c r="AC80" s="16" t="n">
        <x:v>0</x:v>
      </x:c>
      <x:c r="AD80" s="16" t="n">
        <x:v>0</x:v>
      </x:c>
      <x:c r="AE80" s="11"/>
      <x:c r="AF80" s="11" t="str">
        <x:v>size_uncertain</x:v>
      </x:c>
      <x:c r="AG80" s="11" t="str">
        <x:v>Hai mẫu cùng ghi size M nhưng phom mô tả khác nhau.</x:v>
      </x:c>
      <x:c r="AH80" s="11" t="str">
        <x:v>no</x:v>
      </x:c>
      <x:c r="AI80" s="16"/>
      <x:c r="AJ80" s="16"/>
      <x:c r="AK80" s="16"/>
      <x:c r="AL80" s="16"/>
      <x:c r="AM80" s="16"/>
      <x:c r="AN80" s="16"/>
      <x:c r="AO80" s="16"/>
      <x:c r="AP80" s="16"/>
      <x:c r="AQ80" s="11"/>
      <x:c r="AR80" s="16" t="n">
        <x:v>1</x:v>
      </x:c>
      <x:c r="AS80" s="16" t="n">
        <x:v>0</x:v>
      </x:c>
      <x:c r="AT80" s="16" t="n">
        <x:v>1</x:v>
      </x:c>
      <x:c r="AU80" s="16" t="n">
        <x:v>0</x:v>
      </x:c>
      <x:c r="AV80" s="16" t="n">
        <x:v>0</x:v>
      </x:c>
      <x:c r="AW80" s="16" t="n">
        <x:v>0</x:v>
      </x:c>
      <x:c r="AX80" s="16" t="n">
        <x:v>1</x:v>
      </x:c>
      <x:c r="AY80" s="16" t="n">
        <x:v>0</x:v>
      </x:c>
      <x:c r="AZ80" s="16" t="n">
        <x:v>0</x:v>
      </x:c>
      <x:c r="BA80" s="11"/>
      <x:c r="BB80" s="11" t="str">
        <x:v>cod</x:v>
      </x:c>
      <x:c r="BC80" s="11" t="str">
        <x:v>Quen thanh toán lúc giao hàng.</x:v>
      </x:c>
      <x:c r="BD80" s="11" t="str">
        <x:v>guest</x:v>
      </x:c>
      <x:c r="BE80" s="16" t="n">
        <x:v>1</x:v>
      </x:c>
      <x:c r="BF80" s="16" t="n">
        <x:v>1</x:v>
      </x:c>
      <x:c r="BG80" s="16" t="n">
        <x:v>1</x:v>
      </x:c>
      <x:c r="BH80" s="16" t="n">
        <x:v>1</x:v>
      </x:c>
      <x:c r="BI80" s="16" t="n">
        <x:v>1</x:v>
      </x:c>
      <x:c r="BJ80" s="16" t="n">
        <x:v>0</x:v>
      </x:c>
      <x:c r="BK80" s="16" t="n">
        <x:v>1</x:v>
      </x:c>
      <x:c r="BL80" s="11" t="str">
        <x:v>fairly_willing</x:v>
      </x:c>
      <x:c r="BM80" s="11" t="str">
        <x:v>Thêm bảng số đo chi tiết theo từng mẫu.</x:v>
      </x:c>
    </x:row>
    <x:row r="81" ht="64" customHeight="1">
      <x:c r="A81" s="12" t="str">
        <x:v>SYN-PH-076</x:v>
      </x:c>
      <x:c r="B81" s="12" t="str">
        <x:v>SYN</x:v>
      </x:c>
      <x:c r="C81" s="12" t="str">
        <x:v>N5</x:v>
      </x:c>
      <x:c r="D81" s="15" t="n">
        <x:v>11.5</x:v>
      </x:c>
      <x:c r="E81" s="17" t="n">
        <x:v>1</x:v>
      </x:c>
      <x:c r="F81" s="17" t="n">
        <x:v>1</x:v>
      </x:c>
      <x:c r="G81" s="12" t="str">
        <x:v>valid</x:v>
      </x:c>
      <x:c r="H81" s="12"/>
      <x:c r="I81" s="12"/>
      <x:c r="J81" s="12" t="str">
        <x:v>yes</x:v>
      </x:c>
      <x:c r="K81" s="12" t="str">
        <x:v>age_35_44</x:v>
      </x:c>
      <x:c r="L81" s="12" t="str">
        <x:v>yes</x:v>
      </x:c>
      <x:c r="M81" s="12" t="str">
        <x:v>hcm</x:v>
      </x:c>
      <x:c r="N81" s="12" t="str">
        <x:v>every_2_3_months</x:v>
      </x:c>
      <x:c r="O81" s="17" t="n">
        <x:v>0</x:v>
      </x:c>
      <x:c r="P81" s="17" t="n">
        <x:v>0</x:v>
      </x:c>
      <x:c r="Q81" s="17" t="n">
        <x:v>0</x:v>
      </x:c>
      <x:c r="R81" s="17" t="n">
        <x:v>1</x:v>
      </x:c>
      <x:c r="S81" s="17" t="n">
        <x:v>0</x:v>
      </x:c>
      <x:c r="T81" s="12"/>
      <x:c r="U81" s="12" t="str">
        <x:v>v300k_499k</x:v>
      </x:c>
      <x:c r="V81" s="17" t="n">
        <x:v>0</x:v>
      </x:c>
      <x:c r="W81" s="17" t="n">
        <x:v>0</x:v>
      </x:c>
      <x:c r="X81" s="17" t="n">
        <x:v>0</x:v>
      </x:c>
      <x:c r="Y81" s="17" t="n">
        <x:v>0</x:v>
      </x:c>
      <x:c r="Z81" s="17" t="n">
        <x:v>0</x:v>
      </x:c>
      <x:c r="AA81" s="17" t="n">
        <x:v>0</x:v>
      </x:c>
      <x:c r="AB81" s="17" t="n">
        <x:v>1</x:v>
      </x:c>
      <x:c r="AC81" s="17" t="n">
        <x:v>0</x:v>
      </x:c>
      <x:c r="AD81" s="17" t="n">
        <x:v>0</x:v>
      </x:c>
      <x:c r="AE81" s="12"/>
      <x:c r="AF81" s="12" t="str">
        <x:v>payment_concern</x:v>
      </x:c>
      <x:c r="AG81" s="12" t="str">
        <x:v>Muốn biết cách xử lý khi đã trả tiền nhưng chưa thấy đơn.</x:v>
      </x:c>
      <x:c r="AH81" s="12" t="str">
        <x:v>no</x:v>
      </x:c>
      <x:c r="AI81" s="17"/>
      <x:c r="AJ81" s="17"/>
      <x:c r="AK81" s="17"/>
      <x:c r="AL81" s="17"/>
      <x:c r="AM81" s="17"/>
      <x:c r="AN81" s="17"/>
      <x:c r="AO81" s="17"/>
      <x:c r="AP81" s="17"/>
      <x:c r="AQ81" s="12"/>
      <x:c r="AR81" s="17" t="n">
        <x:v>0</x:v>
      </x:c>
      <x:c r="AS81" s="17" t="n">
        <x:v>0</x:v>
      </x:c>
      <x:c r="AT81" s="17" t="n">
        <x:v>0</x:v>
      </x:c>
      <x:c r="AU81" s="17" t="n">
        <x:v>1</x:v>
      </x:c>
      <x:c r="AV81" s="17" t="n">
        <x:v>1</x:v>
      </x:c>
      <x:c r="AW81" s="17" t="n">
        <x:v>1</x:v>
      </x:c>
      <x:c r="AX81" s="17" t="n">
        <x:v>0</x:v>
      </x:c>
      <x:c r="AY81" s="17" t="n">
        <x:v>0</x:v>
      </x:c>
      <x:c r="AZ81" s="17" t="n">
        <x:v>0</x:v>
      </x:c>
      <x:c r="BA81" s="12"/>
      <x:c r="BB81" s="12" t="str">
        <x:v>cod</x:v>
      </x:c>
      <x:c r="BC81" s="12" t="str">
        <x:v>Quen thanh toán lúc giao hàng.</x:v>
      </x:c>
      <x:c r="BD81" s="12" t="str">
        <x:v>register_now</x:v>
      </x:c>
      <x:c r="BE81" s="17" t="n">
        <x:v>1</x:v>
      </x:c>
      <x:c r="BF81" s="17" t="n">
        <x:v>1</x:v>
      </x:c>
      <x:c r="BG81" s="17" t="n">
        <x:v>1</x:v>
      </x:c>
      <x:c r="BH81" s="17" t="n">
        <x:v>1</x:v>
      </x:c>
      <x:c r="BI81" s="17" t="n">
        <x:v>1</x:v>
      </x:c>
      <x:c r="BJ81" s="17" t="n">
        <x:v>0</x:v>
      </x:c>
      <x:c r="BK81" s="17" t="n">
        <x:v>1</x:v>
      </x:c>
      <x:c r="BL81" s="12" t="str">
        <x:v>very_willing</x:v>
      </x:c>
      <x:c r="BM81" s="12" t="str">
        <x:v>Cho tra cứu trạng thái đơn sau khi thanh toán bị gián đoạn.</x:v>
      </x:c>
    </x:row>
    <x:row r="82" ht="64" customHeight="1">
      <x:c r="A82" s="11" t="str">
        <x:v>SYN-PH-077</x:v>
      </x:c>
      <x:c r="B82" s="11" t="str">
        <x:v>SYN</x:v>
      </x:c>
      <x:c r="C82" s="11" t="str">
        <x:v>N5</x:v>
      </x:c>
      <x:c r="D82" s="14" t="n">
        <x:v>9.4</x:v>
      </x:c>
      <x:c r="E82" s="16" t="n">
        <x:v>1</x:v>
      </x:c>
      <x:c r="F82" s="16" t="n">
        <x:v>1</x:v>
      </x:c>
      <x:c r="G82" s="11" t="str">
        <x:v>valid</x:v>
      </x:c>
      <x:c r="H82" s="11"/>
      <x:c r="I82" s="11"/>
      <x:c r="J82" s="11" t="str">
        <x:v>yes</x:v>
      </x:c>
      <x:c r="K82" s="11" t="str">
        <x:v>age_18_24</x:v>
      </x:c>
      <x:c r="L82" s="11" t="str">
        <x:v>yes</x:v>
      </x:c>
      <x:c r="M82" s="11" t="str">
        <x:v>hcm</x:v>
      </x:c>
      <x:c r="N82" s="11" t="str">
        <x:v>monthly_2_3</x:v>
      </x:c>
      <x:c r="O82" s="16" t="n">
        <x:v>0</x:v>
      </x:c>
      <x:c r="P82" s="16" t="n">
        <x:v>1</x:v>
      </x:c>
      <x:c r="Q82" s="16" t="n">
        <x:v>0</x:v>
      </x:c>
      <x:c r="R82" s="16" t="n">
        <x:v>0</x:v>
      </x:c>
      <x:c r="S82" s="16" t="n">
        <x:v>0</x:v>
      </x:c>
      <x:c r="T82" s="11"/>
      <x:c r="U82" s="11" t="str">
        <x:v>v300k_499k</x:v>
      </x:c>
      <x:c r="V82" s="16" t="n">
        <x:v>0</x:v>
      </x:c>
      <x:c r="W82" s="16" t="n">
        <x:v>0</x:v>
      </x:c>
      <x:c r="X82" s="16" t="n">
        <x:v>0</x:v>
      </x:c>
      <x:c r="Y82" s="16" t="n">
        <x:v>0</x:v>
      </x:c>
      <x:c r="Z82" s="16" t="n">
        <x:v>0</x:v>
      </x:c>
      <x:c r="AA82" s="16" t="n">
        <x:v>0</x:v>
      </x:c>
      <x:c r="AB82" s="16" t="n">
        <x:v>0</x:v>
      </x:c>
      <x:c r="AC82" s="16" t="n">
        <x:v>1</x:v>
      </x:c>
      <x:c r="AD82" s="16" t="n">
        <x:v>0</x:v>
      </x:c>
      <x:c r="AE82" s="11"/>
      <x:c r="AF82" s="11"/>
      <x:c r="AG82" s="11"/>
      <x:c r="AH82" s="11" t="str">
        <x:v>no</x:v>
      </x:c>
      <x:c r="AI82" s="16"/>
      <x:c r="AJ82" s="16"/>
      <x:c r="AK82" s="16"/>
      <x:c r="AL82" s="16"/>
      <x:c r="AM82" s="16"/>
      <x:c r="AN82" s="16"/>
      <x:c r="AO82" s="16"/>
      <x:c r="AP82" s="16"/>
      <x:c r="AQ82" s="11"/>
      <x:c r="AR82" s="16" t="n">
        <x:v>0</x:v>
      </x:c>
      <x:c r="AS82" s="16" t="n">
        <x:v>1</x:v>
      </x:c>
      <x:c r="AT82" s="16" t="n">
        <x:v>0</x:v>
      </x:c>
      <x:c r="AU82" s="16" t="n">
        <x:v>0</x:v>
      </x:c>
      <x:c r="AV82" s="16" t="n">
        <x:v>0</x:v>
      </x:c>
      <x:c r="AW82" s="16" t="n">
        <x:v>1</x:v>
      </x:c>
      <x:c r="AX82" s="16" t="n">
        <x:v>0</x:v>
      </x:c>
      <x:c r="AY82" s="16" t="n">
        <x:v>1</x:v>
      </x:c>
      <x:c r="AZ82" s="16" t="n">
        <x:v>0</x:v>
      </x:c>
      <x:c r="BA82" s="11"/>
      <x:c r="BB82" s="11" t="str">
        <x:v>prepaid</x:v>
      </x:c>
      <x:c r="BC82" s="11" t="str">
        <x:v>Tiện cho người nhận không cần chuẩn bị tiền.</x:v>
      </x:c>
      <x:c r="BD82" s="11" t="str">
        <x:v>guest</x:v>
      </x:c>
      <x:c r="BE82" s="16" t="n">
        <x:v>1</x:v>
      </x:c>
      <x:c r="BF82" s="16" t="n">
        <x:v>0</x:v>
      </x:c>
      <x:c r="BG82" s="16" t="n">
        <x:v>0</x:v>
      </x:c>
      <x:c r="BH82" s="16" t="n">
        <x:v>1</x:v>
      </x:c>
      <x:c r="BI82" s="16" t="n">
        <x:v>1</x:v>
      </x:c>
      <x:c r="BJ82" s="16" t="n">
        <x:v>0</x:v>
      </x:c>
      <x:c r="BK82" s="16" t="n">
        <x:v>1</x:v>
      </x:c>
      <x:c r="BL82" s="11" t="str">
        <x:v>neutral</x:v>
      </x:c>
      <x:c r="BM82" s="11" t="str">
        <x:v>Giữ giao diện gọn và thao tác mua nhanh.</x:v>
      </x:c>
    </x:row>
    <x:row r="83" ht="64" customHeight="1">
      <x:c r="A83" s="12" t="str">
        <x:v>SYN-PH-078</x:v>
      </x:c>
      <x:c r="B83" s="12" t="str">
        <x:v>SYN</x:v>
      </x:c>
      <x:c r="C83" s="12" t="str">
        <x:v>N5</x:v>
      </x:c>
      <x:c r="D83" s="15" t="n">
        <x:v>8.9</x:v>
      </x:c>
      <x:c r="E83" s="17" t="n">
        <x:v>1</x:v>
      </x:c>
      <x:c r="F83" s="17" t="n">
        <x:v>1</x:v>
      </x:c>
      <x:c r="G83" s="12" t="str">
        <x:v>excluded</x:v>
      </x:c>
      <x:c r="H83" s="12" t="str">
        <x:v>duplicate</x:v>
      </x:c>
      <x:c r="I83" s="12" t="str">
        <x:v>SYN-PH-077</x:v>
      </x:c>
      <x:c r="J83" s="12" t="str">
        <x:v>yes</x:v>
      </x:c>
      <x:c r="K83" s="12" t="str">
        <x:v>age_18_24</x:v>
      </x:c>
      <x:c r="L83" s="12" t="str">
        <x:v>yes</x:v>
      </x:c>
      <x:c r="M83" s="12" t="str">
        <x:v>hcm</x:v>
      </x:c>
      <x:c r="N83" s="12" t="str">
        <x:v>monthly_2_3</x:v>
      </x:c>
      <x:c r="O83" s="17" t="n">
        <x:v>0</x:v>
      </x:c>
      <x:c r="P83" s="17" t="n">
        <x:v>1</x:v>
      </x:c>
      <x:c r="Q83" s="17" t="n">
        <x:v>0</x:v>
      </x:c>
      <x:c r="R83" s="17" t="n">
        <x:v>0</x:v>
      </x:c>
      <x:c r="S83" s="17" t="n">
        <x:v>0</x:v>
      </x:c>
      <x:c r="T83" s="12"/>
      <x:c r="U83" s="12" t="str">
        <x:v>v300k_499k</x:v>
      </x:c>
      <x:c r="V83" s="17" t="n">
        <x:v>0</x:v>
      </x:c>
      <x:c r="W83" s="17" t="n">
        <x:v>0</x:v>
      </x:c>
      <x:c r="X83" s="17" t="n">
        <x:v>0</x:v>
      </x:c>
      <x:c r="Y83" s="17" t="n">
        <x:v>0</x:v>
      </x:c>
      <x:c r="Z83" s="17" t="n">
        <x:v>0</x:v>
      </x:c>
      <x:c r="AA83" s="17" t="n">
        <x:v>0</x:v>
      </x:c>
      <x:c r="AB83" s="17" t="n">
        <x:v>0</x:v>
      </x:c>
      <x:c r="AC83" s="17" t="n">
        <x:v>1</x:v>
      </x:c>
      <x:c r="AD83" s="17" t="n">
        <x:v>0</x:v>
      </x:c>
      <x:c r="AE83" s="12"/>
      <x:c r="AF83" s="12"/>
      <x:c r="AG83" s="12"/>
      <x:c r="AH83" s="12" t="str">
        <x:v>no</x:v>
      </x:c>
      <x:c r="AI83" s="17"/>
      <x:c r="AJ83" s="17"/>
      <x:c r="AK83" s="17"/>
      <x:c r="AL83" s="17"/>
      <x:c r="AM83" s="17"/>
      <x:c r="AN83" s="17"/>
      <x:c r="AO83" s="17"/>
      <x:c r="AP83" s="17"/>
      <x:c r="AQ83" s="12"/>
      <x:c r="AR83" s="17" t="n">
        <x:v>0</x:v>
      </x:c>
      <x:c r="AS83" s="17" t="n">
        <x:v>1</x:v>
      </x:c>
      <x:c r="AT83" s="17" t="n">
        <x:v>0</x:v>
      </x:c>
      <x:c r="AU83" s="17" t="n">
        <x:v>0</x:v>
      </x:c>
      <x:c r="AV83" s="17" t="n">
        <x:v>0</x:v>
      </x:c>
      <x:c r="AW83" s="17" t="n">
        <x:v>1</x:v>
      </x:c>
      <x:c r="AX83" s="17" t="n">
        <x:v>0</x:v>
      </x:c>
      <x:c r="AY83" s="17" t="n">
        <x:v>1</x:v>
      </x:c>
      <x:c r="AZ83" s="17" t="n">
        <x:v>0</x:v>
      </x:c>
      <x:c r="BA83" s="12"/>
      <x:c r="BB83" s="12" t="str">
        <x:v>prepaid</x:v>
      </x:c>
      <x:c r="BC83" s="12" t="str">
        <x:v>Tiện cho người nhận không cần chuẩn bị tiền.</x:v>
      </x:c>
      <x:c r="BD83" s="12" t="str">
        <x:v>guest</x:v>
      </x:c>
      <x:c r="BE83" s="17" t="n">
        <x:v>1</x:v>
      </x:c>
      <x:c r="BF83" s="17" t="n">
        <x:v>0</x:v>
      </x:c>
      <x:c r="BG83" s="17" t="n">
        <x:v>0</x:v>
      </x:c>
      <x:c r="BH83" s="17" t="n">
        <x:v>1</x:v>
      </x:c>
      <x:c r="BI83" s="17" t="n">
        <x:v>1</x:v>
      </x:c>
      <x:c r="BJ83" s="17" t="n">
        <x:v>0</x:v>
      </x:c>
      <x:c r="BK83" s="17" t="n">
        <x:v>1</x:v>
      </x:c>
      <x:c r="BL83" s="12" t="str">
        <x:v>neutral</x:v>
      </x:c>
      <x:c r="BM83" s="12" t="str">
        <x:v>Giữ giao diện gọn và thao tác mua nhanh.</x:v>
      </x:c>
    </x:row>
    <x:row r="84" ht="64" customHeight="1">
      <x:c r="A84" s="11" t="str">
        <x:v>SYN-PH-079</x:v>
      </x:c>
      <x:c r="B84" s="11" t="str">
        <x:v>SYN</x:v>
      </x:c>
      <x:c r="C84" s="11" t="str">
        <x:v>N5</x:v>
      </x:c>
      <x:c r="D84" s="14" t="n">
        <x:v>6.6</x:v>
      </x:c>
      <x:c r="E84" s="16" t="n">
        <x:v>1</x:v>
      </x:c>
      <x:c r="F84" s="16" t="n">
        <x:v>1</x:v>
      </x:c>
      <x:c r="G84" s="11" t="str">
        <x:v>valid</x:v>
      </x:c>
      <x:c r="H84" s="11"/>
      <x:c r="I84" s="11"/>
      <x:c r="J84" s="11" t="str">
        <x:v>yes</x:v>
      </x:c>
      <x:c r="K84" s="11" t="str">
        <x:v>age_25_34</x:v>
      </x:c>
      <x:c r="L84" s="11" t="str">
        <x:v>yes</x:v>
      </x:c>
      <x:c r="M84" s="11" t="str">
        <x:v>hanoi</x:v>
      </x:c>
      <x:c r="N84" s="11" t="str">
        <x:v>monthly_2_3</x:v>
      </x:c>
      <x:c r="O84" s="16" t="n">
        <x:v>1</x:v>
      </x:c>
      <x:c r="P84" s="16" t="n">
        <x:v>0</x:v>
      </x:c>
      <x:c r="Q84" s="16" t="n">
        <x:v>0</x:v>
      </x:c>
      <x:c r="R84" s="16" t="n">
        <x:v>1</x:v>
      </x:c>
      <x:c r="S84" s="16" t="n">
        <x:v>0</x:v>
      </x:c>
      <x:c r="T84" s="11"/>
      <x:c r="U84" s="11" t="str">
        <x:v>under_300k</x:v>
      </x:c>
      <x:c r="V84" s="16" t="n">
        <x:v>1</x:v>
      </x:c>
      <x:c r="W84" s="16" t="n">
        <x:v>1</x:v>
      </x:c>
      <x:c r="X84" s="16" t="n">
        <x:v>0</x:v>
      </x:c>
      <x:c r="Y84" s="16" t="n">
        <x:v>1</x:v>
      </x:c>
      <x:c r="Z84" s="16" t="n">
        <x:v>0</x:v>
      </x:c>
      <x:c r="AA84" s="16" t="n">
        <x:v>0</x:v>
      </x:c>
      <x:c r="AB84" s="16" t="n">
        <x:v>0</x:v>
      </x:c>
      <x:c r="AC84" s="16" t="n">
        <x:v>0</x:v>
      </x:c>
      <x:c r="AD84" s="16" t="n">
        <x:v>0</x:v>
      </x:c>
      <x:c r="AE84" s="11"/>
      <x:c r="AF84" s="11" t="str">
        <x:v>size_uncertain</x:v>
      </x:c>
      <x:c r="AG84" s="11" t="str">
        <x:v>Không có số đo vai và chiều dài để chọn size.</x:v>
      </x:c>
      <x:c r="AH84" s="11" t="str">
        <x:v>yes</x:v>
      </x:c>
      <x:c r="AI84" s="16" t="n">
        <x:v>1</x:v>
      </x:c>
      <x:c r="AJ84" s="16" t="n">
        <x:v>0</x:v>
      </x:c>
      <x:c r="AK84" s="16" t="n">
        <x:v>1</x:v>
      </x:c>
      <x:c r="AL84" s="16" t="n">
        <x:v>0</x:v>
      </x:c>
      <x:c r="AM84" s="16" t="n">
        <x:v>0</x:v>
      </x:c>
      <x:c r="AN84" s="16" t="n">
        <x:v>0</x:v>
      </x:c>
      <x:c r="AO84" s="16" t="n">
        <x:v>0</x:v>
      </x:c>
      <x:c r="AP84" s="16" t="n">
        <x:v>0</x:v>
      </x:c>
      <x:c r="AQ84" s="11"/>
      <x:c r="AR84" s="16" t="n">
        <x:v>1</x:v>
      </x:c>
      <x:c r="AS84" s="16" t="n">
        <x:v>1</x:v>
      </x:c>
      <x:c r="AT84" s="16" t="n">
        <x:v>0</x:v>
      </x:c>
      <x:c r="AU84" s="16" t="n">
        <x:v>0</x:v>
      </x:c>
      <x:c r="AV84" s="16" t="n">
        <x:v>0</x:v>
      </x:c>
      <x:c r="AW84" s="16" t="n">
        <x:v>1</x:v>
      </x:c>
      <x:c r="AX84" s="16" t="n">
        <x:v>0</x:v>
      </x:c>
      <x:c r="AY84" s="16" t="n">
        <x:v>0</x:v>
      </x:c>
      <x:c r="AZ84" s="16" t="n">
        <x:v>0</x:v>
      </x:c>
      <x:c r="BA84" s="11"/>
      <x:c r="BB84" s="11" t="str">
        <x:v>cod</x:v>
      </x:c>
      <x:c r="BC84" s="11" t="str">
        <x:v>Quen thanh toán lúc giao hàng.</x:v>
      </x:c>
      <x:c r="BD84" s="11" t="str">
        <x:v>guest</x:v>
      </x:c>
      <x:c r="BE84" s="16" t="n">
        <x:v>1</x:v>
      </x:c>
      <x:c r="BF84" s="16" t="n">
        <x:v>0</x:v>
      </x:c>
      <x:c r="BG84" s="16" t="n">
        <x:v>1</x:v>
      </x:c>
      <x:c r="BH84" s="16" t="n">
        <x:v>1</x:v>
      </x:c>
      <x:c r="BI84" s="16" t="n">
        <x:v>1</x:v>
      </x:c>
      <x:c r="BJ84" s="16" t="n">
        <x:v>0</x:v>
      </x:c>
      <x:c r="BK84" s="16" t="n">
        <x:v>1</x:v>
      </x:c>
      <x:c r="BL84" s="11" t="str">
        <x:v>fairly_willing</x:v>
      </x:c>
      <x:c r="BM84" s="11" t="str">
        <x:v>Thêm bảng số đo chi tiết theo từng mẫu.</x:v>
      </x:c>
    </x:row>
    <x:row r="85" ht="64" customHeight="1">
      <x:c r="A85" s="12" t="str">
        <x:v>SYN-PH-080</x:v>
      </x:c>
      <x:c r="B85" s="12" t="str">
        <x:v>SYN</x:v>
      </x:c>
      <x:c r="C85" s="12" t="str">
        <x:v>N5</x:v>
      </x:c>
      <x:c r="D85" s="15" t="n">
        <x:v>1.2</x:v>
      </x:c>
      <x:c r="E85" s="17" t="n">
        <x:v>0</x:v>
      </x:c>
      <x:c r="F85" s="17" t="n">
        <x:v>0</x:v>
      </x:c>
      <x:c r="G85" s="12" t="str">
        <x:v>excluded</x:v>
      </x:c>
      <x:c r="H85" s="12" t="str">
        <x:v>out_of_age</x:v>
      </x:c>
      <x:c r="I85" s="12"/>
      <x:c r="J85" s="12" t="str">
        <x:v>yes</x:v>
      </x:c>
      <x:c r="K85" s="12" t="str">
        <x:v>prefer_not_to_say</x:v>
      </x:c>
      <x:c r="L85" s="12"/>
      <x:c r="M85" s="12"/>
      <x:c r="N85" s="12"/>
      <x:c r="O85" s="17"/>
      <x:c r="P85" s="17"/>
      <x:c r="Q85" s="17"/>
      <x:c r="R85" s="17"/>
      <x:c r="S85" s="17"/>
      <x:c r="T85" s="12"/>
      <x:c r="U85" s="12"/>
      <x:c r="V85" s="17"/>
      <x:c r="W85" s="17"/>
      <x:c r="X85" s="17"/>
      <x:c r="Y85" s="17"/>
      <x:c r="Z85" s="17"/>
      <x:c r="AA85" s="17"/>
      <x:c r="AB85" s="17"/>
      <x:c r="AC85" s="17"/>
      <x:c r="AD85" s="17"/>
      <x:c r="AE85" s="12"/>
      <x:c r="AF85" s="12"/>
      <x:c r="AG85" s="12"/>
      <x:c r="AH85" s="12"/>
      <x:c r="AI85" s="17"/>
      <x:c r="AJ85" s="17"/>
      <x:c r="AK85" s="17"/>
      <x:c r="AL85" s="17"/>
      <x:c r="AM85" s="17"/>
      <x:c r="AN85" s="17"/>
      <x:c r="AO85" s="17"/>
      <x:c r="AP85" s="17"/>
      <x:c r="AQ85" s="12"/>
      <x:c r="AR85" s="17"/>
      <x:c r="AS85" s="17"/>
      <x:c r="AT85" s="17"/>
      <x:c r="AU85" s="17"/>
      <x:c r="AV85" s="17"/>
      <x:c r="AW85" s="17"/>
      <x:c r="AX85" s="17"/>
      <x:c r="AY85" s="17"/>
      <x:c r="AZ85" s="17"/>
      <x:c r="BA85" s="12"/>
      <x:c r="BB85" s="12"/>
      <x:c r="BC85" s="12"/>
      <x:c r="BD85" s="12"/>
      <x:c r="BE85" s="17"/>
      <x:c r="BF85" s="17"/>
      <x:c r="BG85" s="17"/>
      <x:c r="BH85" s="17"/>
      <x:c r="BI85" s="17"/>
      <x:c r="BJ85" s="17"/>
      <x:c r="BK85" s="17"/>
      <x:c r="BL85" s="12"/>
      <x:c r="BM85" s="12"/>
    </x:row>
    <x:row r="86" ht="64" customHeight="1">
      <x:c r="A86" s="11" t="str">
        <x:v>SYN-PH-081</x:v>
      </x:c>
      <x:c r="B86" s="11" t="str">
        <x:v>SYN</x:v>
      </x:c>
      <x:c r="C86" s="11" t="str">
        <x:v>N6</x:v>
      </x:c>
      <x:c r="D86" s="14" t="n">
        <x:v>7.7</x:v>
      </x:c>
      <x:c r="E86" s="16" t="n">
        <x:v>1</x:v>
      </x:c>
      <x:c r="F86" s="16" t="n">
        <x:v>1</x:v>
      </x:c>
      <x:c r="G86" s="11" t="str">
        <x:v>valid</x:v>
      </x:c>
      <x:c r="H86" s="11"/>
      <x:c r="I86" s="11"/>
      <x:c r="J86" s="11" t="str">
        <x:v>yes</x:v>
      </x:c>
      <x:c r="K86" s="11" t="str">
        <x:v>age_18_24</x:v>
      </x:c>
      <x:c r="L86" s="11" t="str">
        <x:v>yes</x:v>
      </x:c>
      <x:c r="M86" s="11" t="str">
        <x:v>other_urban</x:v>
      </x:c>
      <x:c r="N86" s="11" t="str">
        <x:v>monthly_2_3</x:v>
      </x:c>
      <x:c r="O86" s="16" t="n">
        <x:v>1</x:v>
      </x:c>
      <x:c r="P86" s="16" t="n">
        <x:v>1</x:v>
      </x:c>
      <x:c r="Q86" s="16" t="n">
        <x:v>1</x:v>
      </x:c>
      <x:c r="R86" s="16" t="n">
        <x:v>0</x:v>
      </x:c>
      <x:c r="S86" s="16" t="n">
        <x:v>0</x:v>
      </x:c>
      <x:c r="T86" s="11"/>
      <x:c r="U86" s="11" t="str">
        <x:v>v500k_799k</x:v>
      </x:c>
      <x:c r="V86" s="16" t="n">
        <x:v>0</x:v>
      </x:c>
      <x:c r="W86" s="16" t="n">
        <x:v>1</x:v>
      </x:c>
      <x:c r="X86" s="16" t="n">
        <x:v>1</x:v>
      </x:c>
      <x:c r="Y86" s="16" t="n">
        <x:v>0</x:v>
      </x:c>
      <x:c r="Z86" s="16" t="n">
        <x:v>1</x:v>
      </x:c>
      <x:c r="AA86" s="16" t="n">
        <x:v>0</x:v>
      </x:c>
      <x:c r="AB86" s="16" t="n">
        <x:v>0</x:v>
      </x:c>
      <x:c r="AC86" s="16" t="n">
        <x:v>0</x:v>
      </x:c>
      <x:c r="AD86" s="16" t="n">
        <x:v>0</x:v>
      </x:c>
      <x:c r="AE86" s="11"/>
      <x:c r="AF86" s="11" t="str">
        <x:v>stock_unclear</x:v>
      </x:c>
      <x:c r="AG86" s="11" t="str">
        <x:v>Màu mong muốn không có thông tin tồn rõ ràng.</x:v>
      </x:c>
      <x:c r="AH86" s="11" t="str">
        <x:v>cannot_recall</x:v>
      </x:c>
      <x:c r="AI86" s="16"/>
      <x:c r="AJ86" s="16"/>
      <x:c r="AK86" s="16"/>
      <x:c r="AL86" s="16"/>
      <x:c r="AM86" s="16"/>
      <x:c r="AN86" s="16"/>
      <x:c r="AO86" s="16"/>
      <x:c r="AP86" s="16"/>
      <x:c r="AQ86" s="11"/>
      <x:c r="AR86" s="16" t="n">
        <x:v>1</x:v>
      </x:c>
      <x:c r="AS86" s="16" t="n">
        <x:v>0</x:v>
      </x:c>
      <x:c r="AT86" s="16" t="n">
        <x:v>1</x:v>
      </x:c>
      <x:c r="AU86" s="16" t="n">
        <x:v>0</x:v>
      </x:c>
      <x:c r="AV86" s="16" t="n">
        <x:v>0</x:v>
      </x:c>
      <x:c r="AW86" s="16" t="n">
        <x:v>0</x:v>
      </x:c>
      <x:c r="AX86" s="16" t="n">
        <x:v>0</x:v>
      </x:c>
      <x:c r="AY86" s="16" t="n">
        <x:v>0</x:v>
      </x:c>
      <x:c r="AZ86" s="16" t="n">
        <x:v>0</x:v>
      </x:c>
      <x:c r="BA86" s="11"/>
      <x:c r="BB86" s="11" t="str">
        <x:v>cod</x:v>
      </x:c>
      <x:c r="BC86" s="11" t="str">
        <x:v>Quen thanh toán lúc giao hàng.</x:v>
      </x:c>
      <x:c r="BD86" s="11" t="str">
        <x:v>depends_on_benefits</x:v>
      </x:c>
      <x:c r="BE86" s="16" t="n">
        <x:v>1</x:v>
      </x:c>
      <x:c r="BF86" s="16" t="n">
        <x:v>0</x:v>
      </x:c>
      <x:c r="BG86" s="16" t="n">
        <x:v>1</x:v>
      </x:c>
      <x:c r="BH86" s="16" t="n">
        <x:v>1</x:v>
      </x:c>
      <x:c r="BI86" s="16" t="n">
        <x:v>1</x:v>
      </x:c>
      <x:c r="BJ86" s="16" t="n">
        <x:v>0</x:v>
      </x:c>
      <x:c r="BK86" s="16" t="n">
        <x:v>0</x:v>
      </x:c>
      <x:c r="BL86" s="11" t="str">
        <x:v>neutral</x:v>
      </x:c>
      <x:c r="BM86" s="11" t="str">
        <x:v>Hiển thị tồn theo từng size và màu.</x:v>
      </x:c>
    </x:row>
    <x:row r="87" ht="64" customHeight="1">
      <x:c r="A87" s="12" t="str">
        <x:v>SYN-PH-082</x:v>
      </x:c>
      <x:c r="B87" s="12" t="str">
        <x:v>SYN</x:v>
      </x:c>
      <x:c r="C87" s="12" t="str">
        <x:v>N6</x:v>
      </x:c>
      <x:c r="D87" s="15" t="n">
        <x:v>5</x:v>
      </x:c>
      <x:c r="E87" s="17" t="n">
        <x:v>1</x:v>
      </x:c>
      <x:c r="F87" s="17" t="n">
        <x:v>0</x:v>
      </x:c>
      <x:c r="G87" s="12" t="str">
        <x:v>excluded</x:v>
      </x:c>
      <x:c r="H87" s="12" t="str">
        <x:v>incomplete</x:v>
      </x:c>
      <x:c r="I87" s="12"/>
      <x:c r="J87" s="12" t="str">
        <x:v>yes</x:v>
      </x:c>
      <x:c r="K87" s="12" t="str">
        <x:v>age_35_44</x:v>
      </x:c>
      <x:c r="L87" s="12" t="str">
        <x:v>yes</x:v>
      </x:c>
      <x:c r="M87" s="12" t="str">
        <x:v>nonurban</x:v>
      </x:c>
      <x:c r="N87" s="12" t="str">
        <x:v>less_often</x:v>
      </x:c>
      <x:c r="O87" s="17" t="n">
        <x:v>1</x:v>
      </x:c>
      <x:c r="P87" s="17" t="n">
        <x:v>0</x:v>
      </x:c>
      <x:c r="Q87" s="17" t="n">
        <x:v>0</x:v>
      </x:c>
      <x:c r="R87" s="17" t="n">
        <x:v>0</x:v>
      </x:c>
      <x:c r="S87" s="17" t="n">
        <x:v>0</x:v>
      </x:c>
      <x:c r="T87" s="12"/>
      <x:c r="U87" s="12" t="str">
        <x:v>v500k_799k</x:v>
      </x:c>
      <x:c r="V87" s="17" t="n">
        <x:v>0</x:v>
      </x:c>
      <x:c r="W87" s="17" t="n">
        <x:v>0</x:v>
      </x:c>
      <x:c r="X87" s="17" t="n">
        <x:v>0</x:v>
      </x:c>
      <x:c r="Y87" s="17" t="n">
        <x:v>0</x:v>
      </x:c>
      <x:c r="Z87" s="17" t="n">
        <x:v>0</x:v>
      </x:c>
      <x:c r="AA87" s="17" t="n">
        <x:v>0</x:v>
      </x:c>
      <x:c r="AB87" s="17" t="n">
        <x:v>0</x:v>
      </x:c>
      <x:c r="AC87" s="17" t="n">
        <x:v>1</x:v>
      </x:c>
      <x:c r="AD87" s="17" t="n">
        <x:v>0</x:v>
      </x:c>
      <x:c r="AE87" s="12"/>
      <x:c r="AF87" s="12"/>
      <x:c r="AG87" s="12"/>
      <x:c r="AH87" s="12" t="str">
        <x:v>no</x:v>
      </x:c>
      <x:c r="AI87" s="17"/>
      <x:c r="AJ87" s="17"/>
      <x:c r="AK87" s="17"/>
      <x:c r="AL87" s="17"/>
      <x:c r="AM87" s="17"/>
      <x:c r="AN87" s="17"/>
      <x:c r="AO87" s="17"/>
      <x:c r="AP87" s="17"/>
      <x:c r="AQ87" s="12"/>
      <x:c r="AR87" s="17"/>
      <x:c r="AS87" s="17"/>
      <x:c r="AT87" s="17"/>
      <x:c r="AU87" s="17"/>
      <x:c r="AV87" s="17"/>
      <x:c r="AW87" s="17"/>
      <x:c r="AX87" s="17"/>
      <x:c r="AY87" s="17"/>
      <x:c r="AZ87" s="17"/>
      <x:c r="BA87" s="12"/>
      <x:c r="BB87" s="12"/>
      <x:c r="BC87" s="12"/>
      <x:c r="BD87" s="12"/>
      <x:c r="BE87" s="17"/>
      <x:c r="BF87" s="17"/>
      <x:c r="BG87" s="17"/>
      <x:c r="BH87" s="17"/>
      <x:c r="BI87" s="17"/>
      <x:c r="BJ87" s="17"/>
      <x:c r="BK87" s="17"/>
      <x:c r="BL87" s="12"/>
      <x:c r="BM87" s="12"/>
    </x:row>
    <x:row r="88" ht="64" customHeight="1">
      <x:c r="A88" s="11" t="str">
        <x:v>SYN-PH-083</x:v>
      </x:c>
      <x:c r="B88" s="11" t="str">
        <x:v>SYN</x:v>
      </x:c>
      <x:c r="C88" s="11" t="str">
        <x:v>N6</x:v>
      </x:c>
      <x:c r="D88" s="14" t="n">
        <x:v>1.1</x:v>
      </x:c>
      <x:c r="E88" s="16" t="n">
        <x:v>0</x:v>
      </x:c>
      <x:c r="F88" s="16" t="n">
        <x:v>0</x:v>
      </x:c>
      <x:c r="G88" s="11" t="str">
        <x:v>excluded</x:v>
      </x:c>
      <x:c r="H88" s="11" t="str">
        <x:v>no_recent_purchase</x:v>
      </x:c>
      <x:c r="I88" s="11"/>
      <x:c r="J88" s="11" t="str">
        <x:v>yes</x:v>
      </x:c>
      <x:c r="K88" s="11" t="str">
        <x:v>age_25_34</x:v>
      </x:c>
      <x:c r="L88" s="11" t="str">
        <x:v>no</x:v>
      </x:c>
      <x:c r="M88" s="11"/>
      <x:c r="N88" s="11"/>
      <x:c r="O88" s="16"/>
      <x:c r="P88" s="16"/>
      <x:c r="Q88" s="16"/>
      <x:c r="R88" s="16"/>
      <x:c r="S88" s="16"/>
      <x:c r="T88" s="11"/>
      <x:c r="U88" s="11"/>
      <x:c r="V88" s="16"/>
      <x:c r="W88" s="16"/>
      <x:c r="X88" s="16"/>
      <x:c r="Y88" s="16"/>
      <x:c r="Z88" s="16"/>
      <x:c r="AA88" s="16"/>
      <x:c r="AB88" s="16"/>
      <x:c r="AC88" s="16"/>
      <x:c r="AD88" s="16"/>
      <x:c r="AE88" s="11"/>
      <x:c r="AF88" s="11"/>
      <x:c r="AG88" s="11"/>
      <x:c r="AH88" s="11"/>
      <x:c r="AI88" s="16"/>
      <x:c r="AJ88" s="16"/>
      <x:c r="AK88" s="16"/>
      <x:c r="AL88" s="16"/>
      <x:c r="AM88" s="16"/>
      <x:c r="AN88" s="16"/>
      <x:c r="AO88" s="16"/>
      <x:c r="AP88" s="16"/>
      <x:c r="AQ88" s="11"/>
      <x:c r="AR88" s="16"/>
      <x:c r="AS88" s="16"/>
      <x:c r="AT88" s="16"/>
      <x:c r="AU88" s="16"/>
      <x:c r="AV88" s="16"/>
      <x:c r="AW88" s="16"/>
      <x:c r="AX88" s="16"/>
      <x:c r="AY88" s="16"/>
      <x:c r="AZ88" s="16"/>
      <x:c r="BA88" s="11"/>
      <x:c r="BB88" s="11"/>
      <x:c r="BC88" s="11"/>
      <x:c r="BD88" s="11"/>
      <x:c r="BE88" s="16"/>
      <x:c r="BF88" s="16"/>
      <x:c r="BG88" s="16"/>
      <x:c r="BH88" s="16"/>
      <x:c r="BI88" s="16"/>
      <x:c r="BJ88" s="16"/>
      <x:c r="BK88" s="16"/>
      <x:c r="BL88" s="11"/>
      <x:c r="BM88" s="11"/>
    </x:row>
    <x:row r="89" ht="64" customHeight="1">
      <x:c r="A89" s="12" t="str">
        <x:v>SYN-PH-084</x:v>
      </x:c>
      <x:c r="B89" s="12" t="str">
        <x:v>SYN</x:v>
      </x:c>
      <x:c r="C89" s="12" t="str">
        <x:v>N6</x:v>
      </x:c>
      <x:c r="D89" s="15" t="n">
        <x:v>11.3</x:v>
      </x:c>
      <x:c r="E89" s="17" t="n">
        <x:v>1</x:v>
      </x:c>
      <x:c r="F89" s="17" t="n">
        <x:v>1</x:v>
      </x:c>
      <x:c r="G89" s="12" t="str">
        <x:v>valid</x:v>
      </x:c>
      <x:c r="H89" s="12"/>
      <x:c r="I89" s="12"/>
      <x:c r="J89" s="12" t="str">
        <x:v>yes</x:v>
      </x:c>
      <x:c r="K89" s="12" t="str">
        <x:v>age_25_34</x:v>
      </x:c>
      <x:c r="L89" s="12" t="str">
        <x:v>yes</x:v>
      </x:c>
      <x:c r="M89" s="12" t="str">
        <x:v>hcm</x:v>
      </x:c>
      <x:c r="N89" s="12" t="str">
        <x:v>monthly</x:v>
      </x:c>
      <x:c r="O89" s="17" t="n">
        <x:v>1</x:v>
      </x:c>
      <x:c r="P89" s="17" t="n">
        <x:v>1</x:v>
      </x:c>
      <x:c r="Q89" s="17" t="n">
        <x:v>0</x:v>
      </x:c>
      <x:c r="R89" s="17" t="n">
        <x:v>0</x:v>
      </x:c>
      <x:c r="S89" s="17" t="n">
        <x:v>0</x:v>
      </x:c>
      <x:c r="T89" s="12"/>
      <x:c r="U89" s="12" t="str">
        <x:v>under_300k</x:v>
      </x:c>
      <x:c r="V89" s="17" t="n">
        <x:v>0</x:v>
      </x:c>
      <x:c r="W89" s="17" t="n">
        <x:v>0</x:v>
      </x:c>
      <x:c r="X89" s="17" t="n">
        <x:v>0</x:v>
      </x:c>
      <x:c r="Y89" s="17" t="n">
        <x:v>1</x:v>
      </x:c>
      <x:c r="Z89" s="17" t="n">
        <x:v>0</x:v>
      </x:c>
      <x:c r="AA89" s="17" t="n">
        <x:v>0</x:v>
      </x:c>
      <x:c r="AB89" s="17" t="n">
        <x:v>0</x:v>
      </x:c>
      <x:c r="AC89" s="17" t="n">
        <x:v>0</x:v>
      </x:c>
      <x:c r="AD89" s="17" t="n">
        <x:v>0</x:v>
      </x:c>
      <x:c r="AE89" s="12"/>
      <x:c r="AF89" s="12" t="str">
        <x:v>late_total</x:v>
      </x:c>
      <x:c r="AG89" s="12" t="str">
        <x:v>Tổng tiền sau ưu đãi khó đối chiếu với từng khoản.</x:v>
      </x:c>
      <x:c r="AH89" s="12" t="str">
        <x:v>no</x:v>
      </x:c>
      <x:c r="AI89" s="17"/>
      <x:c r="AJ89" s="17"/>
      <x:c r="AK89" s="17"/>
      <x:c r="AL89" s="17"/>
      <x:c r="AM89" s="17"/>
      <x:c r="AN89" s="17"/>
      <x:c r="AO89" s="17"/>
      <x:c r="AP89" s="17"/>
      <x:c r="AQ89" s="12"/>
      <x:c r="AR89" s="17" t="n">
        <x:v>1</x:v>
      </x:c>
      <x:c r="AS89" s="17" t="n">
        <x:v>0</x:v>
      </x:c>
      <x:c r="AT89" s="17" t="n">
        <x:v>1</x:v>
      </x:c>
      <x:c r="AU89" s="17" t="n">
        <x:v>0</x:v>
      </x:c>
      <x:c r="AV89" s="17" t="n">
        <x:v>1</x:v>
      </x:c>
      <x:c r="AW89" s="17" t="n">
        <x:v>0</x:v>
      </x:c>
      <x:c r="AX89" s="17" t="n">
        <x:v>0</x:v>
      </x:c>
      <x:c r="AY89" s="17" t="n">
        <x:v>0</x:v>
      </x:c>
      <x:c r="AZ89" s="17" t="n">
        <x:v>0</x:v>
      </x:c>
      <x:c r="BA89" s="12"/>
      <x:c r="BB89" s="12" t="str">
        <x:v>cod</x:v>
      </x:c>
      <x:c r="BC89" s="12" t="str">
        <x:v>Muốn nhận hàng rồi mới thanh toán.</x:v>
      </x:c>
      <x:c r="BD89" s="12" t="str">
        <x:v>depends_on_benefits</x:v>
      </x:c>
      <x:c r="BE89" s="17" t="n">
        <x:v>1</x:v>
      </x:c>
      <x:c r="BF89" s="17" t="n">
        <x:v>1</x:v>
      </x:c>
      <x:c r="BG89" s="17" t="n">
        <x:v>1</x:v>
      </x:c>
      <x:c r="BH89" s="17" t="n">
        <x:v>1</x:v>
      </x:c>
      <x:c r="BI89" s="17" t="n">
        <x:v>1</x:v>
      </x:c>
      <x:c r="BJ89" s="17" t="n">
        <x:v>0</x:v>
      </x:c>
      <x:c r="BK89" s="17" t="n">
        <x:v>1</x:v>
      </x:c>
      <x:c r="BL89" s="12" t="str">
        <x:v>neutral</x:v>
      </x:c>
      <x:c r="BM89" s="12" t="str">
        <x:v>Giải thích vì sao mã giảm giá không áp dụng.</x:v>
      </x:c>
    </x:row>
    <x:row r="90" ht="64" customHeight="1">
      <x:c r="A90" s="11" t="str">
        <x:v>SYN-PH-085</x:v>
      </x:c>
      <x:c r="B90" s="11" t="str">
        <x:v>SYN</x:v>
      </x:c>
      <x:c r="C90" s="11" t="str">
        <x:v>N6</x:v>
      </x:c>
      <x:c r="D90" s="14" t="n">
        <x:v>1.1</x:v>
      </x:c>
      <x:c r="E90" s="16" t="n">
        <x:v>0</x:v>
      </x:c>
      <x:c r="F90" s="16" t="n">
        <x:v>0</x:v>
      </x:c>
      <x:c r="G90" s="11" t="str">
        <x:v>excluded</x:v>
      </x:c>
      <x:c r="H90" s="11" t="str">
        <x:v>no_recent_purchase</x:v>
      </x:c>
      <x:c r="I90" s="11"/>
      <x:c r="J90" s="11" t="str">
        <x:v>yes</x:v>
      </x:c>
      <x:c r="K90" s="11" t="str">
        <x:v>age_35_44</x:v>
      </x:c>
      <x:c r="L90" s="11" t="str">
        <x:v>no</x:v>
      </x:c>
      <x:c r="M90" s="11"/>
      <x:c r="N90" s="11"/>
      <x:c r="O90" s="16"/>
      <x:c r="P90" s="16"/>
      <x:c r="Q90" s="16"/>
      <x:c r="R90" s="16"/>
      <x:c r="S90" s="16"/>
      <x:c r="T90" s="11"/>
      <x:c r="U90" s="11"/>
      <x:c r="V90" s="16"/>
      <x:c r="W90" s="16"/>
      <x:c r="X90" s="16"/>
      <x:c r="Y90" s="16"/>
      <x:c r="Z90" s="16"/>
      <x:c r="AA90" s="16"/>
      <x:c r="AB90" s="16"/>
      <x:c r="AC90" s="16"/>
      <x:c r="AD90" s="16"/>
      <x:c r="AE90" s="11"/>
      <x:c r="AF90" s="11"/>
      <x:c r="AG90" s="11"/>
      <x:c r="AH90" s="11"/>
      <x:c r="AI90" s="16"/>
      <x:c r="AJ90" s="16"/>
      <x:c r="AK90" s="16"/>
      <x:c r="AL90" s="16"/>
      <x:c r="AM90" s="16"/>
      <x:c r="AN90" s="16"/>
      <x:c r="AO90" s="16"/>
      <x:c r="AP90" s="16"/>
      <x:c r="AQ90" s="11"/>
      <x:c r="AR90" s="16"/>
      <x:c r="AS90" s="16"/>
      <x:c r="AT90" s="16"/>
      <x:c r="AU90" s="16"/>
      <x:c r="AV90" s="16"/>
      <x:c r="AW90" s="16"/>
      <x:c r="AX90" s="16"/>
      <x:c r="AY90" s="16"/>
      <x:c r="AZ90" s="16"/>
      <x:c r="BA90" s="11"/>
      <x:c r="BB90" s="11"/>
      <x:c r="BC90" s="11"/>
      <x:c r="BD90" s="11"/>
      <x:c r="BE90" s="16"/>
      <x:c r="BF90" s="16"/>
      <x:c r="BG90" s="16"/>
      <x:c r="BH90" s="16"/>
      <x:c r="BI90" s="16"/>
      <x:c r="BJ90" s="16"/>
      <x:c r="BK90" s="16"/>
      <x:c r="BL90" s="11"/>
      <x:c r="BM90" s="11"/>
    </x:row>
    <x:row r="91" ht="64" customHeight="1">
      <x:c r="A91" s="12" t="str">
        <x:v>SYN-PH-086</x:v>
      </x:c>
      <x:c r="B91" s="12" t="str">
        <x:v>SYN</x:v>
      </x:c>
      <x:c r="C91" s="12" t="str">
        <x:v>N6</x:v>
      </x:c>
      <x:c r="D91" s="15" t="n">
        <x:v>10.6</x:v>
      </x:c>
      <x:c r="E91" s="17" t="n">
        <x:v>1</x:v>
      </x:c>
      <x:c r="F91" s="17" t="n">
        <x:v>1</x:v>
      </x:c>
      <x:c r="G91" s="12" t="str">
        <x:v>valid</x:v>
      </x:c>
      <x:c r="H91" s="12"/>
      <x:c r="I91" s="12"/>
      <x:c r="J91" s="12" t="str">
        <x:v>yes</x:v>
      </x:c>
      <x:c r="K91" s="12" t="str">
        <x:v>age_18_24</x:v>
      </x:c>
      <x:c r="L91" s="12" t="str">
        <x:v>yes</x:v>
      </x:c>
      <x:c r="M91" s="12" t="str">
        <x:v>hcm</x:v>
      </x:c>
      <x:c r="N91" s="12" t="str">
        <x:v>monthly</x:v>
      </x:c>
      <x:c r="O91" s="17" t="n">
        <x:v>1</x:v>
      </x:c>
      <x:c r="P91" s="17" t="n">
        <x:v>1</x:v>
      </x:c>
      <x:c r="Q91" s="17" t="n">
        <x:v>1</x:v>
      </x:c>
      <x:c r="R91" s="17" t="n">
        <x:v>0</x:v>
      </x:c>
      <x:c r="S91" s="17" t="n">
        <x:v>0</x:v>
      </x:c>
      <x:c r="T91" s="12"/>
      <x:c r="U91" s="12" t="str">
        <x:v>under_300k</x:v>
      </x:c>
      <x:c r="V91" s="17" t="n">
        <x:v>0</x:v>
      </x:c>
      <x:c r="W91" s="17" t="n">
        <x:v>1</x:v>
      </x:c>
      <x:c r="X91" s="17" t="n">
        <x:v>0</x:v>
      </x:c>
      <x:c r="Y91" s="17" t="n">
        <x:v>1</x:v>
      </x:c>
      <x:c r="Z91" s="17" t="n">
        <x:v>0</x:v>
      </x:c>
      <x:c r="AA91" s="17" t="n">
        <x:v>0</x:v>
      </x:c>
      <x:c r="AB91" s="17" t="n">
        <x:v>0</x:v>
      </x:c>
      <x:c r="AC91" s="17" t="n">
        <x:v>0</x:v>
      </x:c>
      <x:c r="AD91" s="17" t="n">
        <x:v>0</x:v>
      </x:c>
      <x:c r="AE91" s="12"/>
      <x:c r="AF91" s="12" t="str">
        <x:v>late_total</x:v>
      </x:c>
      <x:c r="AG91" s="12" t="str">
        <x:v>Mức giảm voucher thay đổi khi chọn phương thức giao.</x:v>
      </x:c>
      <x:c r="AH91" s="12" t="str">
        <x:v>no</x:v>
      </x:c>
      <x:c r="AI91" s="17"/>
      <x:c r="AJ91" s="17"/>
      <x:c r="AK91" s="17"/>
      <x:c r="AL91" s="17"/>
      <x:c r="AM91" s="17"/>
      <x:c r="AN91" s="17"/>
      <x:c r="AO91" s="17"/>
      <x:c r="AP91" s="17"/>
      <x:c r="AQ91" s="12"/>
      <x:c r="AR91" s="17" t="n">
        <x:v>0</x:v>
      </x:c>
      <x:c r="AS91" s="17" t="n">
        <x:v>0</x:v>
      </x:c>
      <x:c r="AT91" s="17" t="n">
        <x:v>0</x:v>
      </x:c>
      <x:c r="AU91" s="17" t="n">
        <x:v>0</x:v>
      </x:c>
      <x:c r="AV91" s="17" t="n">
        <x:v>0</x:v>
      </x:c>
      <x:c r="AW91" s="17" t="n">
        <x:v>1</x:v>
      </x:c>
      <x:c r="AX91" s="17" t="n">
        <x:v>0</x:v>
      </x:c>
      <x:c r="AY91" s="17" t="n">
        <x:v>0</x:v>
      </x:c>
      <x:c r="AZ91" s="17" t="n">
        <x:v>0</x:v>
      </x:c>
      <x:c r="BA91" s="12"/>
      <x:c r="BB91" s="12" t="str">
        <x:v>cod</x:v>
      </x:c>
      <x:c r="BC91" s="12" t="str">
        <x:v>Quen thanh toán lúc giao hàng.</x:v>
      </x:c>
      <x:c r="BD91" s="12" t="str">
        <x:v>register_now</x:v>
      </x:c>
      <x:c r="BE91" s="17" t="n">
        <x:v>1</x:v>
      </x:c>
      <x:c r="BF91" s="17" t="n">
        <x:v>1</x:v>
      </x:c>
      <x:c r="BG91" s="17" t="n">
        <x:v>1</x:v>
      </x:c>
      <x:c r="BH91" s="17" t="n">
        <x:v>1</x:v>
      </x:c>
      <x:c r="BI91" s="17" t="n">
        <x:v>1</x:v>
      </x:c>
      <x:c r="BJ91" s="17" t="n">
        <x:v>0</x:v>
      </x:c>
      <x:c r="BK91" s="17" t="n">
        <x:v>1</x:v>
      </x:c>
      <x:c r="BL91" s="12" t="str">
        <x:v>very_willing</x:v>
      </x:c>
      <x:c r="BM91" s="12" t="str">
        <x:v>Hiển thị tổng tiền gồm phí giao trước khi xác nhận.</x:v>
      </x:c>
    </x:row>
    <x:row r="92" ht="64" customHeight="1">
      <x:c r="A92" s="11" t="str">
        <x:v>SYN-PH-087</x:v>
      </x:c>
      <x:c r="B92" s="11" t="str">
        <x:v>SYN</x:v>
      </x:c>
      <x:c r="C92" s="11" t="str">
        <x:v>N6</x:v>
      </x:c>
      <x:c r="D92" s="14" t="n">
        <x:v>6.5</x:v>
      </x:c>
      <x:c r="E92" s="16" t="n">
        <x:v>1</x:v>
      </x:c>
      <x:c r="F92" s="16" t="n">
        <x:v>1</x:v>
      </x:c>
      <x:c r="G92" s="11" t="str">
        <x:v>valid</x:v>
      </x:c>
      <x:c r="H92" s="11"/>
      <x:c r="I92" s="11"/>
      <x:c r="J92" s="11" t="str">
        <x:v>yes</x:v>
      </x:c>
      <x:c r="K92" s="11" t="str">
        <x:v>age_25_34</x:v>
      </x:c>
      <x:c r="L92" s="11" t="str">
        <x:v>yes</x:v>
      </x:c>
      <x:c r="M92" s="11" t="str">
        <x:v>hcm</x:v>
      </x:c>
      <x:c r="N92" s="11" t="str">
        <x:v>monthly</x:v>
      </x:c>
      <x:c r="O92" s="16" t="n">
        <x:v>1</x:v>
      </x:c>
      <x:c r="P92" s="16" t="n">
        <x:v>0</x:v>
      </x:c>
      <x:c r="Q92" s="16" t="n">
        <x:v>0</x:v>
      </x:c>
      <x:c r="R92" s="16" t="n">
        <x:v>0</x:v>
      </x:c>
      <x:c r="S92" s="16" t="n">
        <x:v>0</x:v>
      </x:c>
      <x:c r="T92" s="11"/>
      <x:c r="U92" s="11" t="str">
        <x:v>v300k_499k</x:v>
      </x:c>
      <x:c r="V92" s="16" t="n">
        <x:v>1</x:v>
      </x:c>
      <x:c r="W92" s="16" t="n">
        <x:v>0</x:v>
      </x:c>
      <x:c r="X92" s="16" t="n">
        <x:v>1</x:v>
      </x:c>
      <x:c r="Y92" s="16" t="n">
        <x:v>0</x:v>
      </x:c>
      <x:c r="Z92" s="16" t="n">
        <x:v>0</x:v>
      </x:c>
      <x:c r="AA92" s="16" t="n">
        <x:v>0</x:v>
      </x:c>
      <x:c r="AB92" s="16" t="n">
        <x:v>0</x:v>
      </x:c>
      <x:c r="AC92" s="16" t="n">
        <x:v>0</x:v>
      </x:c>
      <x:c r="AD92" s="16" t="n">
        <x:v>0</x:v>
      </x:c>
      <x:c r="AE92" s="11"/>
      <x:c r="AF92" s="11" t="str">
        <x:v>size_uncertain</x:v>
      </x:c>
      <x:c r="AG92" s="11" t="str">
        <x:v>Không có số đo vai và chiều dài để chọn size.</x:v>
      </x:c>
      <x:c r="AH92" s="11" t="str">
        <x:v>yes</x:v>
      </x:c>
      <x:c r="AI92" s="16" t="n">
        <x:v>0</x:v>
      </x:c>
      <x:c r="AJ92" s="16" t="n">
        <x:v>0</x:v>
      </x:c>
      <x:c r="AK92" s="16" t="n">
        <x:v>0</x:v>
      </x:c>
      <x:c r="AL92" s="16" t="n">
        <x:v>1</x:v>
      </x:c>
      <x:c r="AM92" s="16" t="n">
        <x:v>0</x:v>
      </x:c>
      <x:c r="AN92" s="16" t="n">
        <x:v>0</x:v>
      </x:c>
      <x:c r="AO92" s="16" t="n">
        <x:v>0</x:v>
      </x:c>
      <x:c r="AP92" s="16" t="n">
        <x:v>0</x:v>
      </x:c>
      <x:c r="AQ92" s="11"/>
      <x:c r="AR92" s="16" t="n">
        <x:v>1</x:v>
      </x:c>
      <x:c r="AS92" s="16" t="n">
        <x:v>0</x:v>
      </x:c>
      <x:c r="AT92" s="16" t="n">
        <x:v>1</x:v>
      </x:c>
      <x:c r="AU92" s="16" t="n">
        <x:v>0</x:v>
      </x:c>
      <x:c r="AV92" s="16" t="n">
        <x:v>0</x:v>
      </x:c>
      <x:c r="AW92" s="16" t="n">
        <x:v>0</x:v>
      </x:c>
      <x:c r="AX92" s="16" t="n">
        <x:v>1</x:v>
      </x:c>
      <x:c r="AY92" s="16" t="n">
        <x:v>0</x:v>
      </x:c>
      <x:c r="AZ92" s="16" t="n">
        <x:v>0</x:v>
      </x:c>
      <x:c r="BA92" s="11"/>
      <x:c r="BB92" s="11" t="str">
        <x:v>prepaid</x:v>
      </x:c>
      <x:c r="BC92" s="11" t="str">
        <x:v>Đã quen thao tác thanh toán trước.</x:v>
      </x:c>
      <x:c r="BD92" s="11" t="str">
        <x:v>guest</x:v>
      </x:c>
      <x:c r="BE92" s="16" t="n">
        <x:v>1</x:v>
      </x:c>
      <x:c r="BF92" s="16" t="n">
        <x:v>0</x:v>
      </x:c>
      <x:c r="BG92" s="16" t="n">
        <x:v>1</x:v>
      </x:c>
      <x:c r="BH92" s="16" t="n">
        <x:v>1</x:v>
      </x:c>
      <x:c r="BI92" s="16" t="n">
        <x:v>0</x:v>
      </x:c>
      <x:c r="BJ92" s="16" t="n">
        <x:v>0</x:v>
      </x:c>
      <x:c r="BK92" s="16" t="n">
        <x:v>1</x:v>
      </x:c>
      <x:c r="BL92" s="11" t="str">
        <x:v>fairly_willing</x:v>
      </x:c>
      <x:c r="BM92" s="11" t="str">
        <x:v>Thêm bảng số đo chi tiết theo từng mẫu.</x:v>
      </x:c>
    </x:row>
    <x:row r="93" ht="64" customHeight="1">
      <x:c r="A93" s="12" t="str">
        <x:v>SYN-PH-088</x:v>
      </x:c>
      <x:c r="B93" s="12" t="str">
        <x:v>SYN</x:v>
      </x:c>
      <x:c r="C93" s="12" t="str">
        <x:v>N6</x:v>
      </x:c>
      <x:c r="D93" s="15" t="n">
        <x:v>9.8</x:v>
      </x:c>
      <x:c r="E93" s="17" t="n">
        <x:v>1</x:v>
      </x:c>
      <x:c r="F93" s="17" t="n">
        <x:v>1</x:v>
      </x:c>
      <x:c r="G93" s="12" t="str">
        <x:v>excluded</x:v>
      </x:c>
      <x:c r="H93" s="12" t="str">
        <x:v>duplicate</x:v>
      </x:c>
      <x:c r="I93" s="12" t="str">
        <x:v>SYN-PH-087</x:v>
      </x:c>
      <x:c r="J93" s="12" t="str">
        <x:v>yes</x:v>
      </x:c>
      <x:c r="K93" s="12" t="str">
        <x:v>age_25_34</x:v>
      </x:c>
      <x:c r="L93" s="12" t="str">
        <x:v>yes</x:v>
      </x:c>
      <x:c r="M93" s="12" t="str">
        <x:v>hcm</x:v>
      </x:c>
      <x:c r="N93" s="12" t="str">
        <x:v>monthly</x:v>
      </x:c>
      <x:c r="O93" s="17" t="n">
        <x:v>1</x:v>
      </x:c>
      <x:c r="P93" s="17" t="n">
        <x:v>0</x:v>
      </x:c>
      <x:c r="Q93" s="17" t="n">
        <x:v>0</x:v>
      </x:c>
      <x:c r="R93" s="17" t="n">
        <x:v>0</x:v>
      </x:c>
      <x:c r="S93" s="17" t="n">
        <x:v>0</x:v>
      </x:c>
      <x:c r="T93" s="12"/>
      <x:c r="U93" s="12" t="str">
        <x:v>v300k_499k</x:v>
      </x:c>
      <x:c r="V93" s="17" t="n">
        <x:v>1</x:v>
      </x:c>
      <x:c r="W93" s="17" t="n">
        <x:v>0</x:v>
      </x:c>
      <x:c r="X93" s="17" t="n">
        <x:v>1</x:v>
      </x:c>
      <x:c r="Y93" s="17" t="n">
        <x:v>0</x:v>
      </x:c>
      <x:c r="Z93" s="17" t="n">
        <x:v>0</x:v>
      </x:c>
      <x:c r="AA93" s="17" t="n">
        <x:v>0</x:v>
      </x:c>
      <x:c r="AB93" s="17" t="n">
        <x:v>0</x:v>
      </x:c>
      <x:c r="AC93" s="17" t="n">
        <x:v>0</x:v>
      </x:c>
      <x:c r="AD93" s="17" t="n">
        <x:v>0</x:v>
      </x:c>
      <x:c r="AE93" s="12"/>
      <x:c r="AF93" s="12" t="str">
        <x:v>size_uncertain</x:v>
      </x:c>
      <x:c r="AG93" s="12" t="str">
        <x:v>Không có số đo vai và chiều dài để chọn size.</x:v>
      </x:c>
      <x:c r="AH93" s="12" t="str">
        <x:v>yes</x:v>
      </x:c>
      <x:c r="AI93" s="17" t="n">
        <x:v>0</x:v>
      </x:c>
      <x:c r="AJ93" s="17" t="n">
        <x:v>0</x:v>
      </x:c>
      <x:c r="AK93" s="17" t="n">
        <x:v>0</x:v>
      </x:c>
      <x:c r="AL93" s="17" t="n">
        <x:v>1</x:v>
      </x:c>
      <x:c r="AM93" s="17" t="n">
        <x:v>0</x:v>
      </x:c>
      <x:c r="AN93" s="17" t="n">
        <x:v>0</x:v>
      </x:c>
      <x:c r="AO93" s="17" t="n">
        <x:v>0</x:v>
      </x:c>
      <x:c r="AP93" s="17" t="n">
        <x:v>0</x:v>
      </x:c>
      <x:c r="AQ93" s="12"/>
      <x:c r="AR93" s="17" t="n">
        <x:v>1</x:v>
      </x:c>
      <x:c r="AS93" s="17" t="n">
        <x:v>0</x:v>
      </x:c>
      <x:c r="AT93" s="17" t="n">
        <x:v>1</x:v>
      </x:c>
      <x:c r="AU93" s="17" t="n">
        <x:v>0</x:v>
      </x:c>
      <x:c r="AV93" s="17" t="n">
        <x:v>0</x:v>
      </x:c>
      <x:c r="AW93" s="17" t="n">
        <x:v>0</x:v>
      </x:c>
      <x:c r="AX93" s="17" t="n">
        <x:v>1</x:v>
      </x:c>
      <x:c r="AY93" s="17" t="n">
        <x:v>0</x:v>
      </x:c>
      <x:c r="AZ93" s="17" t="n">
        <x:v>0</x:v>
      </x:c>
      <x:c r="BA93" s="12"/>
      <x:c r="BB93" s="12" t="str">
        <x:v>prepaid</x:v>
      </x:c>
      <x:c r="BC93" s="12" t="str">
        <x:v>Đã quen thao tác thanh toán trước.</x:v>
      </x:c>
      <x:c r="BD93" s="12" t="str">
        <x:v>guest</x:v>
      </x:c>
      <x:c r="BE93" s="17" t="n">
        <x:v>1</x:v>
      </x:c>
      <x:c r="BF93" s="17" t="n">
        <x:v>0</x:v>
      </x:c>
      <x:c r="BG93" s="17" t="n">
        <x:v>1</x:v>
      </x:c>
      <x:c r="BH93" s="17" t="n">
        <x:v>1</x:v>
      </x:c>
      <x:c r="BI93" s="17" t="n">
        <x:v>0</x:v>
      </x:c>
      <x:c r="BJ93" s="17" t="n">
        <x:v>0</x:v>
      </x:c>
      <x:c r="BK93" s="17" t="n">
        <x:v>1</x:v>
      </x:c>
      <x:c r="BL93" s="12" t="str">
        <x:v>fairly_willing</x:v>
      </x:c>
      <x:c r="BM93" s="12" t="str">
        <x:v>Thêm bảng số đo chi tiết theo từng mẫu.</x:v>
      </x:c>
    </x:row>
    <x:row r="94" ht="64" customHeight="1">
      <x:c r="A94" s="11" t="str">
        <x:v>SYN-PH-089</x:v>
      </x:c>
      <x:c r="B94" s="11" t="str">
        <x:v>SYN</x:v>
      </x:c>
      <x:c r="C94" s="11" t="str">
        <x:v>N6</x:v>
      </x:c>
      <x:c r="D94" s="14" t="n">
        <x:v>7.6</x:v>
      </x:c>
      <x:c r="E94" s="16" t="n">
        <x:v>1</x:v>
      </x:c>
      <x:c r="F94" s="16" t="n">
        <x:v>1</x:v>
      </x:c>
      <x:c r="G94" s="11" t="str">
        <x:v>valid</x:v>
      </x:c>
      <x:c r="H94" s="11"/>
      <x:c r="I94" s="11"/>
      <x:c r="J94" s="11" t="str">
        <x:v>yes</x:v>
      </x:c>
      <x:c r="K94" s="11" t="str">
        <x:v>age_25_34</x:v>
      </x:c>
      <x:c r="L94" s="11" t="str">
        <x:v>yes</x:v>
      </x:c>
      <x:c r="M94" s="11" t="str">
        <x:v>danang</x:v>
      </x:c>
      <x:c r="N94" s="11" t="str">
        <x:v>monthly_2_3</x:v>
      </x:c>
      <x:c r="O94" s="16" t="n">
        <x:v>1</x:v>
      </x:c>
      <x:c r="P94" s="16" t="n">
        <x:v>0</x:v>
      </x:c>
      <x:c r="Q94" s="16" t="n">
        <x:v>0</x:v>
      </x:c>
      <x:c r="R94" s="16" t="n">
        <x:v>0</x:v>
      </x:c>
      <x:c r="S94" s="16" t="n">
        <x:v>0</x:v>
      </x:c>
      <x:c r="T94" s="11"/>
      <x:c r="U94" s="11" t="str">
        <x:v>v300k_499k</x:v>
      </x:c>
      <x:c r="V94" s="16" t="n">
        <x:v>1</x:v>
      </x:c>
      <x:c r="W94" s="16" t="n">
        <x:v>1</x:v>
      </x:c>
      <x:c r="X94" s="16" t="n">
        <x:v>1</x:v>
      </x:c>
      <x:c r="Y94" s="16" t="n">
        <x:v>0</x:v>
      </x:c>
      <x:c r="Z94" s="16" t="n">
        <x:v>0</x:v>
      </x:c>
      <x:c r="AA94" s="16" t="n">
        <x:v>0</x:v>
      </x:c>
      <x:c r="AB94" s="16" t="n">
        <x:v>0</x:v>
      </x:c>
      <x:c r="AC94" s="16" t="n">
        <x:v>0</x:v>
      </x:c>
      <x:c r="AD94" s="16" t="n">
        <x:v>0</x:v>
      </x:c>
      <x:c r="AE94" s="11"/>
      <x:c r="AF94" s="11" t="str">
        <x:v>photo_mismatch</x:v>
      </x:c>
      <x:c r="AG94" s="11" t="str">
        <x:v>Ảnh chụp không thể hiện rõ độ dày vải.</x:v>
      </x:c>
      <x:c r="AH94" s="11" t="str">
        <x:v>no</x:v>
      </x:c>
      <x:c r="AI94" s="16"/>
      <x:c r="AJ94" s="16"/>
      <x:c r="AK94" s="16"/>
      <x:c r="AL94" s="16"/>
      <x:c r="AM94" s="16"/>
      <x:c r="AN94" s="16"/>
      <x:c r="AO94" s="16"/>
      <x:c r="AP94" s="16"/>
      <x:c r="AQ94" s="11"/>
      <x:c r="AR94" s="16" t="n">
        <x:v>0</x:v>
      </x:c>
      <x:c r="AS94" s="16" t="n">
        <x:v>0</x:v>
      </x:c>
      <x:c r="AT94" s="16" t="n">
        <x:v>1</x:v>
      </x:c>
      <x:c r="AU94" s="16" t="n">
        <x:v>0</x:v>
      </x:c>
      <x:c r="AV94" s="16" t="n">
        <x:v>1</x:v>
      </x:c>
      <x:c r="AW94" s="16" t="n">
        <x:v>0</x:v>
      </x:c>
      <x:c r="AX94" s="16" t="n">
        <x:v>0</x:v>
      </x:c>
      <x:c r="AY94" s="16" t="n">
        <x:v>1</x:v>
      </x:c>
      <x:c r="AZ94" s="16" t="n">
        <x:v>0</x:v>
      </x:c>
      <x:c r="BA94" s="11"/>
      <x:c r="BB94" s="11" t="str">
        <x:v>prepaid</x:v>
      </x:c>
      <x:c r="BC94" s="11" t="str">
        <x:v>Tiện cho người nhận không cần chuẩn bị tiền.</x:v>
      </x:c>
      <x:c r="BD94" s="11" t="str">
        <x:v>guest</x:v>
      </x:c>
      <x:c r="BE94" s="16" t="n">
        <x:v>1</x:v>
      </x:c>
      <x:c r="BF94" s="16" t="n">
        <x:v>0</x:v>
      </x:c>
      <x:c r="BG94" s="16" t="n">
        <x:v>1</x:v>
      </x:c>
      <x:c r="BH94" s="16" t="n">
        <x:v>1</x:v>
      </x:c>
      <x:c r="BI94" s="16" t="n">
        <x:v>1</x:v>
      </x:c>
      <x:c r="BJ94" s="16" t="n">
        <x:v>0</x:v>
      </x:c>
      <x:c r="BK94" s="16" t="n">
        <x:v>0</x:v>
      </x:c>
      <x:c r="BL94" s="11" t="str">
        <x:v>fairly_willing</x:v>
      </x:c>
      <x:c r="BM94" s="11" t="str">
        <x:v>Bổ sung ảnh cận chất liệu dưới ánh sáng thường.</x:v>
      </x:c>
    </x:row>
    <x:row r="95" ht="64" customHeight="1">
      <x:c r="A95" s="12" t="str">
        <x:v>SYN-PH-090</x:v>
      </x:c>
      <x:c r="B95" s="12" t="str">
        <x:v>SYN</x:v>
      </x:c>
      <x:c r="C95" s="12" t="str">
        <x:v>N6</x:v>
      </x:c>
      <x:c r="D95" s="15" t="n">
        <x:v>7.3</x:v>
      </x:c>
      <x:c r="E95" s="17" t="n">
        <x:v>1</x:v>
      </x:c>
      <x:c r="F95" s="17" t="n">
        <x:v>1</x:v>
      </x:c>
      <x:c r="G95" s="12" t="str">
        <x:v>valid</x:v>
      </x:c>
      <x:c r="H95" s="12"/>
      <x:c r="I95" s="12"/>
      <x:c r="J95" s="12" t="str">
        <x:v>yes</x:v>
      </x:c>
      <x:c r="K95" s="12" t="str">
        <x:v>age_18_24</x:v>
      </x:c>
      <x:c r="L95" s="12" t="str">
        <x:v>yes</x:v>
      </x:c>
      <x:c r="M95" s="12" t="str">
        <x:v>danang</x:v>
      </x:c>
      <x:c r="N95" s="12" t="str">
        <x:v>monthly</x:v>
      </x:c>
      <x:c r="O95" s="17" t="n">
        <x:v>0</x:v>
      </x:c>
      <x:c r="P95" s="17" t="n">
        <x:v>1</x:v>
      </x:c>
      <x:c r="Q95" s="17" t="n">
        <x:v>0</x:v>
      </x:c>
      <x:c r="R95" s="17" t="n">
        <x:v>0</x:v>
      </x:c>
      <x:c r="S95" s="17" t="n">
        <x:v>1</x:v>
      </x:c>
      <x:c r="T95" s="12" t="str">
        <x:v>Ứng dụng riêng của cửa hàng</x:v>
      </x:c>
      <x:c r="U95" s="12" t="str">
        <x:v>v300k_499k</x:v>
      </x:c>
      <x:c r="V95" s="17" t="n">
        <x:v>1</x:v>
      </x:c>
      <x:c r="W95" s="17" t="n">
        <x:v>1</x:v>
      </x:c>
      <x:c r="X95" s="17" t="n">
        <x:v>0</x:v>
      </x:c>
      <x:c r="Y95" s="17" t="n">
        <x:v>1</x:v>
      </x:c>
      <x:c r="Z95" s="17" t="n">
        <x:v>1</x:v>
      </x:c>
      <x:c r="AA95" s="17" t="n">
        <x:v>0</x:v>
      </x:c>
      <x:c r="AB95" s="17" t="n">
        <x:v>1</x:v>
      </x:c>
      <x:c r="AC95" s="17" t="n">
        <x:v>0</x:v>
      </x:c>
      <x:c r="AD95" s="17" t="n">
        <x:v>0</x:v>
      </x:c>
      <x:c r="AE95" s="12"/>
      <x:c r="AF95" s="12" t="str">
        <x:v>payment_concern</x:v>
      </x:c>
      <x:c r="AG95" s="12" t="str">
        <x:v>Khó xác nhận trạng thái khi thanh toán tải lâu.</x:v>
      </x:c>
      <x:c r="AH95" s="12" t="str">
        <x:v>yes</x:v>
      </x:c>
      <x:c r="AI95" s="17" t="n">
        <x:v>1</x:v>
      </x:c>
      <x:c r="AJ95" s="17" t="n">
        <x:v>0</x:v>
      </x:c>
      <x:c r="AK95" s="17" t="n">
        <x:v>1</x:v>
      </x:c>
      <x:c r="AL95" s="17" t="n">
        <x:v>1</x:v>
      </x:c>
      <x:c r="AM95" s="17" t="n">
        <x:v>1</x:v>
      </x:c>
      <x:c r="AN95" s="17" t="n">
        <x:v>0</x:v>
      </x:c>
      <x:c r="AO95" s="17" t="n">
        <x:v>0</x:v>
      </x:c>
      <x:c r="AP95" s="17" t="n">
        <x:v>0</x:v>
      </x:c>
      <x:c r="AQ95" s="12"/>
      <x:c r="AR95" s="17" t="n">
        <x:v>1</x:v>
      </x:c>
      <x:c r="AS95" s="17" t="n">
        <x:v>0</x:v>
      </x:c>
      <x:c r="AT95" s="17" t="n">
        <x:v>0</x:v>
      </x:c>
      <x:c r="AU95" s="17" t="n">
        <x:v>1</x:v>
      </x:c>
      <x:c r="AV95" s="17" t="n">
        <x:v>0</x:v>
      </x:c>
      <x:c r="AW95" s="17" t="n">
        <x:v>0</x:v>
      </x:c>
      <x:c r="AX95" s="17" t="n">
        <x:v>0</x:v>
      </x:c>
      <x:c r="AY95" s="17" t="n">
        <x:v>1</x:v>
      </x:c>
      <x:c r="AZ95" s="17" t="n">
        <x:v>0</x:v>
      </x:c>
      <x:c r="BA95" s="12"/>
      <x:c r="BB95" s="12" t="str">
        <x:v>cod</x:v>
      </x:c>
      <x:c r="BC95" s="12" t="str">
        <x:v>Thuận tiện với cách nhận hàng gần đây.</x:v>
      </x:c>
      <x:c r="BD95" s="12" t="str">
        <x:v>guest</x:v>
      </x:c>
      <x:c r="BE95" s="17" t="n">
        <x:v>1</x:v>
      </x:c>
      <x:c r="BF95" s="17" t="n">
        <x:v>1</x:v>
      </x:c>
      <x:c r="BG95" s="17" t="n">
        <x:v>1</x:v>
      </x:c>
      <x:c r="BH95" s="17" t="n">
        <x:v>1</x:v>
      </x:c>
      <x:c r="BI95" s="17" t="n">
        <x:v>1</x:v>
      </x:c>
      <x:c r="BJ95" s="17" t="n">
        <x:v>0</x:v>
      </x:c>
      <x:c r="BK95" s="17" t="n">
        <x:v>0</x:v>
      </x:c>
      <x:c r="BL95" s="12" t="str">
        <x:v>neutral</x:v>
      </x:c>
      <x:c r="BM95" s="12" t="str">
        <x:v>Có xác nhận rõ kết quả thanh toán và hướng dẫn khi lỗi.</x:v>
      </x:c>
    </x:row>
    <x:row r="96" ht="64" customHeight="1">
      <x:c r="A96" s="11" t="str">
        <x:v>SYN-PH-091</x:v>
      </x:c>
      <x:c r="B96" s="11" t="str">
        <x:v>SYN</x:v>
      </x:c>
      <x:c r="C96" s="11" t="str">
        <x:v>N6</x:v>
      </x:c>
      <x:c r="D96" s="14" t="n">
        <x:v>10.7</x:v>
      </x:c>
      <x:c r="E96" s="16" t="n">
        <x:v>1</x:v>
      </x:c>
      <x:c r="F96" s="16" t="n">
        <x:v>1</x:v>
      </x:c>
      <x:c r="G96" s="11" t="str">
        <x:v>valid</x:v>
      </x:c>
      <x:c r="H96" s="11"/>
      <x:c r="I96" s="11"/>
      <x:c r="J96" s="11" t="str">
        <x:v>yes</x:v>
      </x:c>
      <x:c r="K96" s="11" t="str">
        <x:v>age_18_24</x:v>
      </x:c>
      <x:c r="L96" s="11" t="str">
        <x:v>yes</x:v>
      </x:c>
      <x:c r="M96" s="11" t="str">
        <x:v>prefer_not_to_say</x:v>
      </x:c>
      <x:c r="N96" s="11" t="str">
        <x:v>monthly_2_3</x:v>
      </x:c>
      <x:c r="O96" s="16" t="n">
        <x:v>1</x:v>
      </x:c>
      <x:c r="P96" s="16" t="n">
        <x:v>0</x:v>
      </x:c>
      <x:c r="Q96" s="16" t="n">
        <x:v>0</x:v>
      </x:c>
      <x:c r="R96" s="16" t="n">
        <x:v>1</x:v>
      </x:c>
      <x:c r="S96" s="16" t="n">
        <x:v>0</x:v>
      </x:c>
      <x:c r="T96" s="11"/>
      <x:c r="U96" s="11" t="str">
        <x:v>v500k_799k</x:v>
      </x:c>
      <x:c r="V96" s="16" t="n">
        <x:v>1</x:v>
      </x:c>
      <x:c r="W96" s="16" t="n">
        <x:v>0</x:v>
      </x:c>
      <x:c r="X96" s="16" t="n">
        <x:v>0</x:v>
      </x:c>
      <x:c r="Y96" s="16" t="n">
        <x:v>0</x:v>
      </x:c>
      <x:c r="Z96" s="16" t="n">
        <x:v>0</x:v>
      </x:c>
      <x:c r="AA96" s="16" t="n">
        <x:v>0</x:v>
      </x:c>
      <x:c r="AB96" s="16" t="n">
        <x:v>0</x:v>
      </x:c>
      <x:c r="AC96" s="16" t="n">
        <x:v>0</x:v>
      </x:c>
      <x:c r="AD96" s="16" t="n">
        <x:v>0</x:v>
      </x:c>
      <x:c r="AE96" s="11"/>
      <x:c r="AF96" s="11" t="str">
        <x:v>size_uncertain</x:v>
      </x:c>
      <x:c r="AG96" s="11" t="str">
        <x:v>Bảng size chỉ có S/M/L nên khó so với số đo áo đang mặc.</x:v>
      </x:c>
      <x:c r="AH96" s="11" t="str">
        <x:v>no</x:v>
      </x:c>
      <x:c r="AI96" s="16"/>
      <x:c r="AJ96" s="16"/>
      <x:c r="AK96" s="16"/>
      <x:c r="AL96" s="16"/>
      <x:c r="AM96" s="16"/>
      <x:c r="AN96" s="16"/>
      <x:c r="AO96" s="16"/>
      <x:c r="AP96" s="16"/>
      <x:c r="AQ96" s="11"/>
      <x:c r="AR96" s="16" t="n">
        <x:v>0</x:v>
      </x:c>
      <x:c r="AS96" s="16" t="n">
        <x:v>0</x:v>
      </x:c>
      <x:c r="AT96" s="16" t="n">
        <x:v>1</x:v>
      </x:c>
      <x:c r="AU96" s="16" t="n">
        <x:v>0</x:v>
      </x:c>
      <x:c r="AV96" s="16" t="n">
        <x:v>0</x:v>
      </x:c>
      <x:c r="AW96" s="16" t="n">
        <x:v>0</x:v>
      </x:c>
      <x:c r="AX96" s="16" t="n">
        <x:v>0</x:v>
      </x:c>
      <x:c r="AY96" s="16" t="n">
        <x:v>0</x:v>
      </x:c>
      <x:c r="AZ96" s="16" t="n">
        <x:v>1</x:v>
      </x:c>
      <x:c r="BA96" s="11" t="str">
        <x:v>Hướng dẫn bảo quản theo chất liệu</x:v>
      </x:c>
      <x:c r="BB96" s="11" t="str">
        <x:v>prepaid</x:v>
      </x:c>
      <x:c r="BC96" s="11" t="str">
        <x:v>Phương thức này phù hợp ưu đãi của lần mua.</x:v>
      </x:c>
      <x:c r="BD96" s="11" t="str">
        <x:v>guest</x:v>
      </x:c>
      <x:c r="BE96" s="16" t="n">
        <x:v>1</x:v>
      </x:c>
      <x:c r="BF96" s="16" t="n">
        <x:v>0</x:v>
      </x:c>
      <x:c r="BG96" s="16" t="n">
        <x:v>1</x:v>
      </x:c>
      <x:c r="BH96" s="16" t="n">
        <x:v>1</x:v>
      </x:c>
      <x:c r="BI96" s="16" t="n">
        <x:v>1</x:v>
      </x:c>
      <x:c r="BJ96" s="16" t="n">
        <x:v>0</x:v>
      </x:c>
      <x:c r="BK96" s="16" t="n">
        <x:v>0</x:v>
      </x:c>
      <x:c r="BL96" s="11" t="str">
        <x:v>very_willing</x:v>
      </x:c>
      <x:c r="BM96" s="11" t="str">
        <x:v>So sánh size giữa các mẫu quần áo.</x:v>
      </x:c>
    </x:row>
    <x:row r="97" ht="64" customHeight="1">
      <x:c r="A97" s="12" t="str">
        <x:v>SYN-PH-092</x:v>
      </x:c>
      <x:c r="B97" s="12" t="str">
        <x:v>SYN</x:v>
      </x:c>
      <x:c r="C97" s="12" t="str">
        <x:v>N6</x:v>
      </x:c>
      <x:c r="D97" s="15" t="n">
        <x:v>8.7</x:v>
      </x:c>
      <x:c r="E97" s="17" t="n">
        <x:v>1</x:v>
      </x:c>
      <x:c r="F97" s="17" t="n">
        <x:v>1</x:v>
      </x:c>
      <x:c r="G97" s="12" t="str">
        <x:v>valid</x:v>
      </x:c>
      <x:c r="H97" s="12"/>
      <x:c r="I97" s="12"/>
      <x:c r="J97" s="12" t="str">
        <x:v>yes</x:v>
      </x:c>
      <x:c r="K97" s="12" t="str">
        <x:v>age_18_24</x:v>
      </x:c>
      <x:c r="L97" s="12" t="str">
        <x:v>yes</x:v>
      </x:c>
      <x:c r="M97" s="12" t="str">
        <x:v>hanoi</x:v>
      </x:c>
      <x:c r="N97" s="12" t="str">
        <x:v>monthly</x:v>
      </x:c>
      <x:c r="O97" s="17" t="n">
        <x:v>1</x:v>
      </x:c>
      <x:c r="P97" s="17" t="n">
        <x:v>1</x:v>
      </x:c>
      <x:c r="Q97" s="17" t="n">
        <x:v>0</x:v>
      </x:c>
      <x:c r="R97" s="17" t="n">
        <x:v>1</x:v>
      </x:c>
      <x:c r="S97" s="17" t="n">
        <x:v>0</x:v>
      </x:c>
      <x:c r="T97" s="12"/>
      <x:c r="U97" s="12" t="str">
        <x:v>at_least_1200k</x:v>
      </x:c>
      <x:c r="V97" s="17" t="n">
        <x:v>0</x:v>
      </x:c>
      <x:c r="W97" s="17" t="n">
        <x:v>0</x:v>
      </x:c>
      <x:c r="X97" s="17" t="n">
        <x:v>0</x:v>
      </x:c>
      <x:c r="Y97" s="17" t="n">
        <x:v>0</x:v>
      </x:c>
      <x:c r="Z97" s="17" t="n">
        <x:v>0</x:v>
      </x:c>
      <x:c r="AA97" s="17" t="n">
        <x:v>1</x:v>
      </x:c>
      <x:c r="AB97" s="17" t="n">
        <x:v>0</x:v>
      </x:c>
      <x:c r="AC97" s="17" t="n">
        <x:v>0</x:v>
      </x:c>
      <x:c r="AD97" s="17" t="n">
        <x:v>0</x:v>
      </x:c>
      <x:c r="AE97" s="12"/>
      <x:c r="AF97" s="12" t="str">
        <x:v>tracking_unclear</x:v>
      </x:c>
      <x:c r="AG97" s="12" t="str">
        <x:v>Không rõ đơn đã đóng gói hay đã bàn giao vận chuyển.</x:v>
      </x:c>
      <x:c r="AH97" s="12" t="str">
        <x:v>yes</x:v>
      </x:c>
      <x:c r="AI97" s="17" t="n">
        <x:v>0</x:v>
      </x:c>
      <x:c r="AJ97" s="17" t="n">
        <x:v>0</x:v>
      </x:c>
      <x:c r="AK97" s="17" t="n">
        <x:v>1</x:v>
      </x:c>
      <x:c r="AL97" s="17" t="n">
        <x:v>0</x:v>
      </x:c>
      <x:c r="AM97" s="17" t="n">
        <x:v>0</x:v>
      </x:c>
      <x:c r="AN97" s="17" t="n">
        <x:v>1</x:v>
      </x:c>
      <x:c r="AO97" s="17" t="n">
        <x:v>0</x:v>
      </x:c>
      <x:c r="AP97" s="17" t="n">
        <x:v>0</x:v>
      </x:c>
      <x:c r="AQ97" s="12"/>
      <x:c r="AR97" s="17" t="n">
        <x:v>1</x:v>
      </x:c>
      <x:c r="AS97" s="17" t="n">
        <x:v>0</x:v>
      </x:c>
      <x:c r="AT97" s="17" t="n">
        <x:v>1</x:v>
      </x:c>
      <x:c r="AU97" s="17" t="n">
        <x:v>0</x:v>
      </x:c>
      <x:c r="AV97" s="17" t="n">
        <x:v>0</x:v>
      </x:c>
      <x:c r="AW97" s="17" t="n">
        <x:v>0</x:v>
      </x:c>
      <x:c r="AX97" s="17" t="n">
        <x:v>0</x:v>
      </x:c>
      <x:c r="AY97" s="17" t="n">
        <x:v>1</x:v>
      </x:c>
      <x:c r="AZ97" s="17" t="n">
        <x:v>0</x:v>
      </x:c>
      <x:c r="BA97" s="12"/>
      <x:c r="BB97" s="12" t="str">
        <x:v>prepaid</x:v>
      </x:c>
      <x:c r="BC97" s="12" t="str">
        <x:v>Đã quen thao tác thanh toán trước.</x:v>
      </x:c>
      <x:c r="BD97" s="12" t="str">
        <x:v>guest</x:v>
      </x:c>
      <x:c r="BE97" s="17" t="n">
        <x:v>0</x:v>
      </x:c>
      <x:c r="BF97" s="17" t="n">
        <x:v>1</x:v>
      </x:c>
      <x:c r="BG97" s="17" t="n">
        <x:v>0</x:v>
      </x:c>
      <x:c r="BH97" s="17" t="n">
        <x:v>1</x:v>
      </x:c>
      <x:c r="BI97" s="17" t="n">
        <x:v>0</x:v>
      </x:c>
      <x:c r="BJ97" s="17" t="n">
        <x:v>1</x:v>
      </x:c>
      <x:c r="BK97" s="17" t="n">
        <x:v>1</x:v>
      </x:c>
      <x:c r="BL97" s="12" t="str">
        <x:v>fairly_willing</x:v>
      </x:c>
      <x:c r="BM97" s="12" t="str">
        <x:v>Nêu rõ bước xử lý khi giao không thành công.</x:v>
      </x:c>
    </x:row>
    <x:row r="98" ht="64" customHeight="1">
      <x:c r="A98" s="11" t="str">
        <x:v>SYN-PH-093</x:v>
      </x:c>
      <x:c r="B98" s="11" t="str">
        <x:v>SYN</x:v>
      </x:c>
      <x:c r="C98" s="11" t="str">
        <x:v>N6</x:v>
      </x:c>
      <x:c r="D98" s="14" t="n">
        <x:v>7.8</x:v>
      </x:c>
      <x:c r="E98" s="16" t="n">
        <x:v>1</x:v>
      </x:c>
      <x:c r="F98" s="16" t="n">
        <x:v>1</x:v>
      </x:c>
      <x:c r="G98" s="11" t="str">
        <x:v>valid</x:v>
      </x:c>
      <x:c r="H98" s="11"/>
      <x:c r="I98" s="11"/>
      <x:c r="J98" s="11" t="str">
        <x:v>yes</x:v>
      </x:c>
      <x:c r="K98" s="11" t="str">
        <x:v>age_35_44</x:v>
      </x:c>
      <x:c r="L98" s="11" t="str">
        <x:v>yes</x:v>
      </x:c>
      <x:c r="M98" s="11" t="str">
        <x:v>other_urban</x:v>
      </x:c>
      <x:c r="N98" s="11" t="str">
        <x:v>monthly_2_3</x:v>
      </x:c>
      <x:c r="O98" s="16" t="n">
        <x:v>1</x:v>
      </x:c>
      <x:c r="P98" s="16" t="n">
        <x:v>1</x:v>
      </x:c>
      <x:c r="Q98" s="16" t="n">
        <x:v>1</x:v>
      </x:c>
      <x:c r="R98" s="16" t="n">
        <x:v>1</x:v>
      </x:c>
      <x:c r="S98" s="16" t="n">
        <x:v>0</x:v>
      </x:c>
      <x:c r="T98" s="11"/>
      <x:c r="U98" s="11" t="str">
        <x:v>v800k_1199k</x:v>
      </x:c>
      <x:c r="V98" s="16" t="n">
        <x:v>1</x:v>
      </x:c>
      <x:c r="W98" s="16" t="n">
        <x:v>0</x:v>
      </x:c>
      <x:c r="X98" s="16" t="n">
        <x:v>0</x:v>
      </x:c>
      <x:c r="Y98" s="16" t="n">
        <x:v>0</x:v>
      </x:c>
      <x:c r="Z98" s="16" t="n">
        <x:v>1</x:v>
      </x:c>
      <x:c r="AA98" s="16" t="n">
        <x:v>0</x:v>
      </x:c>
      <x:c r="AB98" s="16" t="n">
        <x:v>1</x:v>
      </x:c>
      <x:c r="AC98" s="16" t="n">
        <x:v>0</x:v>
      </x:c>
      <x:c r="AD98" s="16" t="n">
        <x:v>1</x:v>
      </x:c>
      <x:c r="AE98" s="11" t="str">
        <x:v>Bộ lọc phom dáng chưa giúp thu hẹp lựa chọn.</x:v>
      </x:c>
      <x:c r="AF98" s="11" t="str">
        <x:v>size_uncertain</x:v>
      </x:c>
      <x:c r="AG98" s="11" t="str">
        <x:v>Hai mẫu cùng ghi size M nhưng phom mô tả khác nhau.</x:v>
      </x:c>
      <x:c r="AH98" s="11" t="str">
        <x:v>yes</x:v>
      </x:c>
      <x:c r="AI98" s="16" t="n">
        <x:v>0</x:v>
      </x:c>
      <x:c r="AJ98" s="16" t="n">
        <x:v>1</x:v>
      </x:c>
      <x:c r="AK98" s="16" t="n">
        <x:v>0</x:v>
      </x:c>
      <x:c r="AL98" s="16" t="n">
        <x:v>0</x:v>
      </x:c>
      <x:c r="AM98" s="16" t="n">
        <x:v>1</x:v>
      </x:c>
      <x:c r="AN98" s="16" t="n">
        <x:v>0</x:v>
      </x:c>
      <x:c r="AO98" s="16" t="n">
        <x:v>1</x:v>
      </x:c>
      <x:c r="AP98" s="16" t="n">
        <x:v>0</x:v>
      </x:c>
      <x:c r="AQ98" s="11"/>
      <x:c r="AR98" s="16" t="n">
        <x:v>0</x:v>
      </x:c>
      <x:c r="AS98" s="16" t="n">
        <x:v>0</x:v>
      </x:c>
      <x:c r="AT98" s="16" t="n">
        <x:v>0</x:v>
      </x:c>
      <x:c r="AU98" s="16" t="n">
        <x:v>0</x:v>
      </x:c>
      <x:c r="AV98" s="16" t="n">
        <x:v>0</x:v>
      </x:c>
      <x:c r="AW98" s="16" t="n">
        <x:v>0</x:v>
      </x:c>
      <x:c r="AX98" s="16" t="n">
        <x:v>1</x:v>
      </x:c>
      <x:c r="AY98" s="16" t="n">
        <x:v>0</x:v>
      </x:c>
      <x:c r="AZ98" s="16" t="n">
        <x:v>0</x:v>
      </x:c>
      <x:c r="BA98" s="11"/>
      <x:c r="BB98" s="11" t="str">
        <x:v>cod</x:v>
      </x:c>
      <x:c r="BC98" s="11" t="str">
        <x:v>Thuận tiện với cách nhận hàng gần đây.</x:v>
      </x:c>
      <x:c r="BD98" s="11" t="str">
        <x:v>guest</x:v>
      </x:c>
      <x:c r="BE98" s="16" t="n">
        <x:v>1</x:v>
      </x:c>
      <x:c r="BF98" s="16" t="n">
        <x:v>0</x:v>
      </x:c>
      <x:c r="BG98" s="16" t="n">
        <x:v>1</x:v>
      </x:c>
      <x:c r="BH98" s="16" t="n">
        <x:v>0</x:v>
      </x:c>
      <x:c r="BI98" s="16" t="n">
        <x:v>1</x:v>
      </x:c>
      <x:c r="BJ98" s="16" t="n">
        <x:v>0</x:v>
      </x:c>
      <x:c r="BK98" s="16" t="n">
        <x:v>1</x:v>
      </x:c>
      <x:c r="BL98" s="11" t="str">
        <x:v>very_willing</x:v>
      </x:c>
      <x:c r="BM98" s="11" t="str">
        <x:v>Ghi rõ phom áo và số đo người mẫu.</x:v>
      </x:c>
    </x:row>
    <x:row r="99" ht="64" customHeight="1">
      <x:c r="A99" s="12" t="str">
        <x:v>SYN-PH-094</x:v>
      </x:c>
      <x:c r="B99" s="12" t="str">
        <x:v>SYN</x:v>
      </x:c>
      <x:c r="C99" s="12" t="str">
        <x:v>N6</x:v>
      </x:c>
      <x:c r="D99" s="15" t="n">
        <x:v>0.4</x:v>
      </x:c>
      <x:c r="E99" s="17" t="n">
        <x:v>0</x:v>
      </x:c>
      <x:c r="F99" s="17" t="n">
        <x:v>0</x:v>
      </x:c>
      <x:c r="G99" s="12" t="str">
        <x:v>excluded</x:v>
      </x:c>
      <x:c r="H99" s="12" t="str">
        <x:v>no_consent</x:v>
      </x:c>
      <x:c r="I99" s="12"/>
      <x:c r="J99" s="12" t="str">
        <x:v>no</x:v>
      </x:c>
      <x:c r="K99" s="12"/>
      <x:c r="L99" s="12"/>
      <x:c r="M99" s="12"/>
      <x:c r="N99" s="12"/>
      <x:c r="O99" s="17"/>
      <x:c r="P99" s="17"/>
      <x:c r="Q99" s="17"/>
      <x:c r="R99" s="17"/>
      <x:c r="S99" s="17"/>
      <x:c r="T99" s="12"/>
      <x:c r="U99" s="12"/>
      <x:c r="V99" s="17"/>
      <x:c r="W99" s="17"/>
      <x:c r="X99" s="17"/>
      <x:c r="Y99" s="17"/>
      <x:c r="Z99" s="17"/>
      <x:c r="AA99" s="17"/>
      <x:c r="AB99" s="17"/>
      <x:c r="AC99" s="17"/>
      <x:c r="AD99" s="17"/>
      <x:c r="AE99" s="12"/>
      <x:c r="AF99" s="12"/>
      <x:c r="AG99" s="12"/>
      <x:c r="AH99" s="12"/>
      <x:c r="AI99" s="17"/>
      <x:c r="AJ99" s="17"/>
      <x:c r="AK99" s="17"/>
      <x:c r="AL99" s="17"/>
      <x:c r="AM99" s="17"/>
      <x:c r="AN99" s="17"/>
      <x:c r="AO99" s="17"/>
      <x:c r="AP99" s="17"/>
      <x:c r="AQ99" s="12"/>
      <x:c r="AR99" s="17"/>
      <x:c r="AS99" s="17"/>
      <x:c r="AT99" s="17"/>
      <x:c r="AU99" s="17"/>
      <x:c r="AV99" s="17"/>
      <x:c r="AW99" s="17"/>
      <x:c r="AX99" s="17"/>
      <x:c r="AY99" s="17"/>
      <x:c r="AZ99" s="17"/>
      <x:c r="BA99" s="12"/>
      <x:c r="BB99" s="12"/>
      <x:c r="BC99" s="12"/>
      <x:c r="BD99" s="12"/>
      <x:c r="BE99" s="17"/>
      <x:c r="BF99" s="17"/>
      <x:c r="BG99" s="17"/>
      <x:c r="BH99" s="17"/>
      <x:c r="BI99" s="17"/>
      <x:c r="BJ99" s="17"/>
      <x:c r="BK99" s="17"/>
      <x:c r="BL99" s="12"/>
      <x:c r="BM99" s="12"/>
    </x:row>
    <x:row r="100" ht="64" customHeight="1">
      <x:c r="A100" s="11" t="str">
        <x:v>SYN-PH-095</x:v>
      </x:c>
      <x:c r="B100" s="11" t="str">
        <x:v>SYN</x:v>
      </x:c>
      <x:c r="C100" s="11" t="str">
        <x:v>N6</x:v>
      </x:c>
      <x:c r="D100" s="14" t="n">
        <x:v>9.5</x:v>
      </x:c>
      <x:c r="E100" s="16" t="n">
        <x:v>1</x:v>
      </x:c>
      <x:c r="F100" s="16" t="n">
        <x:v>1</x:v>
      </x:c>
      <x:c r="G100" s="11" t="str">
        <x:v>valid</x:v>
      </x:c>
      <x:c r="H100" s="11"/>
      <x:c r="I100" s="11"/>
      <x:c r="J100" s="11" t="str">
        <x:v>yes</x:v>
      </x:c>
      <x:c r="K100" s="11" t="str">
        <x:v>age_25_34</x:v>
      </x:c>
      <x:c r="L100" s="11" t="str">
        <x:v>yes</x:v>
      </x:c>
      <x:c r="M100" s="11" t="str">
        <x:v>hcm</x:v>
      </x:c>
      <x:c r="N100" s="11" t="str">
        <x:v>monthly</x:v>
      </x:c>
      <x:c r="O100" s="16" t="n">
        <x:v>1</x:v>
      </x:c>
      <x:c r="P100" s="16" t="n">
        <x:v>0</x:v>
      </x:c>
      <x:c r="Q100" s="16" t="n">
        <x:v>1</x:v>
      </x:c>
      <x:c r="R100" s="16" t="n">
        <x:v>1</x:v>
      </x:c>
      <x:c r="S100" s="16" t="n">
        <x:v>0</x:v>
      </x:c>
      <x:c r="T100" s="11"/>
      <x:c r="U100" s="11" t="str">
        <x:v>v300k_499k</x:v>
      </x:c>
      <x:c r="V100" s="16" t="n">
        <x:v>0</x:v>
      </x:c>
      <x:c r="W100" s="16" t="n">
        <x:v>1</x:v>
      </x:c>
      <x:c r="X100" s="16" t="n">
        <x:v>0</x:v>
      </x:c>
      <x:c r="Y100" s="16" t="n">
        <x:v>1</x:v>
      </x:c>
      <x:c r="Z100" s="16" t="n">
        <x:v>1</x:v>
      </x:c>
      <x:c r="AA100" s="16" t="n">
        <x:v>0</x:v>
      </x:c>
      <x:c r="AB100" s="16" t="n">
        <x:v>0</x:v>
      </x:c>
      <x:c r="AC100" s="16" t="n">
        <x:v>0</x:v>
      </x:c>
      <x:c r="AD100" s="16" t="n">
        <x:v>0</x:v>
      </x:c>
      <x:c r="AE100" s="11"/>
      <x:c r="AF100" s="11" t="str">
        <x:v>stock_unclear</x:v>
      </x:c>
      <x:c r="AG100" s="11" t="str">
        <x:v>Size còn hiển thị nhưng chỉ báo hết khi đặt.</x:v>
      </x:c>
      <x:c r="AH100" s="11" t="str">
        <x:v>cannot_recall</x:v>
      </x:c>
      <x:c r="AI100" s="16"/>
      <x:c r="AJ100" s="16"/>
      <x:c r="AK100" s="16"/>
      <x:c r="AL100" s="16"/>
      <x:c r="AM100" s="16"/>
      <x:c r="AN100" s="16"/>
      <x:c r="AO100" s="16"/>
      <x:c r="AP100" s="16"/>
      <x:c r="AQ100" s="11"/>
      <x:c r="AR100" s="16" t="n">
        <x:v>0</x:v>
      </x:c>
      <x:c r="AS100" s="16" t="n">
        <x:v>0</x:v>
      </x:c>
      <x:c r="AT100" s="16" t="n">
        <x:v>1</x:v>
      </x:c>
      <x:c r="AU100" s="16" t="n">
        <x:v>1</x:v>
      </x:c>
      <x:c r="AV100" s="16" t="n">
        <x:v>1</x:v>
      </x:c>
      <x:c r="AW100" s="16" t="n">
        <x:v>0</x:v>
      </x:c>
      <x:c r="AX100" s="16" t="n">
        <x:v>0</x:v>
      </x:c>
      <x:c r="AY100" s="16" t="n">
        <x:v>0</x:v>
      </x:c>
      <x:c r="AZ100" s="16" t="n">
        <x:v>0</x:v>
      </x:c>
      <x:c r="BA100" s="11"/>
      <x:c r="BB100" s="11" t="str">
        <x:v>prepaid</x:v>
      </x:c>
      <x:c r="BC100" s="11" t="str">
        <x:v>Tiện cho người nhận không cần chuẩn bị tiền.</x:v>
      </x:c>
      <x:c r="BD100" s="11" t="str">
        <x:v>register_now</x:v>
      </x:c>
      <x:c r="BE100" s="16" t="n">
        <x:v>1</x:v>
      </x:c>
      <x:c r="BF100" s="16" t="n">
        <x:v>1</x:v>
      </x:c>
      <x:c r="BG100" s="16" t="n">
        <x:v>1</x:v>
      </x:c>
      <x:c r="BH100" s="16" t="n">
        <x:v>1</x:v>
      </x:c>
      <x:c r="BI100" s="16" t="n">
        <x:v>1</x:v>
      </x:c>
      <x:c r="BJ100" s="16" t="n">
        <x:v>0</x:v>
      </x:c>
      <x:c r="BK100" s="16" t="n">
        <x:v>1</x:v>
      </x:c>
      <x:c r="BL100" s="11" t="str">
        <x:v>fairly_willing</x:v>
      </x:c>
      <x:c r="BM100" s="11" t="str">
        <x:v>Thông báo lựa chọn thay thế khi biến thể hết hàng.</x:v>
      </x:c>
    </x:row>
    <x:row r="101" ht="64" customHeight="1">
      <x:c r="A101" s="12" t="str">
        <x:v>SYN-PH-096</x:v>
      </x:c>
      <x:c r="B101" s="12" t="str">
        <x:v>SYN</x:v>
      </x:c>
      <x:c r="C101" s="12" t="str">
        <x:v>N6</x:v>
      </x:c>
      <x:c r="D101" s="15" t="n">
        <x:v>9.3</x:v>
      </x:c>
      <x:c r="E101" s="17" t="n">
        <x:v>1</x:v>
      </x:c>
      <x:c r="F101" s="17" t="n">
        <x:v>1</x:v>
      </x:c>
      <x:c r="G101" s="12" t="str">
        <x:v>valid</x:v>
      </x:c>
      <x:c r="H101" s="12"/>
      <x:c r="I101" s="12"/>
      <x:c r="J101" s="12" t="str">
        <x:v>yes</x:v>
      </x:c>
      <x:c r="K101" s="12" t="str">
        <x:v>age_18_24</x:v>
      </x:c>
      <x:c r="L101" s="12" t="str">
        <x:v>yes</x:v>
      </x:c>
      <x:c r="M101" s="12" t="str">
        <x:v>danang</x:v>
      </x:c>
      <x:c r="N101" s="12" t="str">
        <x:v>monthly_2_3</x:v>
      </x:c>
      <x:c r="O101" s="17" t="n">
        <x:v>1</x:v>
      </x:c>
      <x:c r="P101" s="17" t="n">
        <x:v>1</x:v>
      </x:c>
      <x:c r="Q101" s="17" t="n">
        <x:v>0</x:v>
      </x:c>
      <x:c r="R101" s="17" t="n">
        <x:v>1</x:v>
      </x:c>
      <x:c r="S101" s="17" t="n">
        <x:v>0</x:v>
      </x:c>
      <x:c r="T101" s="12"/>
      <x:c r="U101" s="12" t="str">
        <x:v>under_300k</x:v>
      </x:c>
      <x:c r="V101" s="17" t="n">
        <x:v>1</x:v>
      </x:c>
      <x:c r="W101" s="17" t="n">
        <x:v>0</x:v>
      </x:c>
      <x:c r="X101" s="17" t="n">
        <x:v>0</x:v>
      </x:c>
      <x:c r="Y101" s="17" t="n">
        <x:v>1</x:v>
      </x:c>
      <x:c r="Z101" s="17" t="n">
        <x:v>0</x:v>
      </x:c>
      <x:c r="AA101" s="17" t="n">
        <x:v>1</x:v>
      </x:c>
      <x:c r="AB101" s="17" t="n">
        <x:v>0</x:v>
      </x:c>
      <x:c r="AC101" s="17" t="n">
        <x:v>0</x:v>
      </x:c>
      <x:c r="AD101" s="17" t="n">
        <x:v>0</x:v>
      </x:c>
      <x:c r="AE101" s="12"/>
      <x:c r="AF101" s="12" t="str">
        <x:v>size_uncertain</x:v>
      </x:c>
      <x:c r="AG101" s="12" t="str">
        <x:v>Bảng size chỉ có S/M/L nên khó so với số đo áo đang mặc.</x:v>
      </x:c>
      <x:c r="AH101" s="12" t="str">
        <x:v>cannot_recall</x:v>
      </x:c>
      <x:c r="AI101" s="17"/>
      <x:c r="AJ101" s="17"/>
      <x:c r="AK101" s="17"/>
      <x:c r="AL101" s="17"/>
      <x:c r="AM101" s="17"/>
      <x:c r="AN101" s="17"/>
      <x:c r="AO101" s="17"/>
      <x:c r="AP101" s="17"/>
      <x:c r="AQ101" s="12"/>
      <x:c r="AR101" s="17" t="n">
        <x:v>1</x:v>
      </x:c>
      <x:c r="AS101" s="17" t="n">
        <x:v>1</x:v>
      </x:c>
      <x:c r="AT101" s="17" t="n">
        <x:v>0</x:v>
      </x:c>
      <x:c r="AU101" s="17" t="n">
        <x:v>1</x:v>
      </x:c>
      <x:c r="AV101" s="17" t="n">
        <x:v>0</x:v>
      </x:c>
      <x:c r="AW101" s="17" t="n">
        <x:v>0</x:v>
      </x:c>
      <x:c r="AX101" s="17" t="n">
        <x:v>0</x:v>
      </x:c>
      <x:c r="AY101" s="17" t="n">
        <x:v>0</x:v>
      </x:c>
      <x:c r="AZ101" s="17" t="n">
        <x:v>0</x:v>
      </x:c>
      <x:c r="BA101" s="12"/>
      <x:c r="BB101" s="12" t="str">
        <x:v>prepaid</x:v>
      </x:c>
      <x:c r="BC101" s="12" t="str">
        <x:v>Phương thức này phù hợp ưu đãi của lần mua.</x:v>
      </x:c>
      <x:c r="BD101" s="12" t="str">
        <x:v>depends_on_benefits</x:v>
      </x:c>
      <x:c r="BE101" s="17" t="n">
        <x:v>1</x:v>
      </x:c>
      <x:c r="BF101" s="17" t="n">
        <x:v>1</x:v>
      </x:c>
      <x:c r="BG101" s="17" t="n">
        <x:v>1</x:v>
      </x:c>
      <x:c r="BH101" s="17" t="n">
        <x:v>1</x:v>
      </x:c>
      <x:c r="BI101" s="17" t="n">
        <x:v>1</x:v>
      </x:c>
      <x:c r="BJ101" s="17" t="n">
        <x:v>1</x:v>
      </x:c>
      <x:c r="BK101" s="17" t="n">
        <x:v>1</x:v>
      </x:c>
      <x:c r="BL101" s="12" t="str">
        <x:v>fairly_willing</x:v>
      </x:c>
      <x:c r="BM101" s="12" t="str">
        <x:v>Thêm bảng số đo chi tiết theo từng mẫu.</x:v>
      </x:c>
    </x:row>
    <x:row r="102" ht="64" customHeight="1">
      <x:c r="A102" s="11" t="str">
        <x:v>SYN-PH-097</x:v>
      </x:c>
      <x:c r="B102" s="11" t="str">
        <x:v>SYN</x:v>
      </x:c>
      <x:c r="C102" s="11" t="str">
        <x:v>N6</x:v>
      </x:c>
      <x:c r="D102" s="14" t="n">
        <x:v>6.8</x:v>
      </x:c>
      <x:c r="E102" s="16" t="n">
        <x:v>1</x:v>
      </x:c>
      <x:c r="F102" s="16" t="n">
        <x:v>1</x:v>
      </x:c>
      <x:c r="G102" s="11" t="str">
        <x:v>valid</x:v>
      </x:c>
      <x:c r="H102" s="11"/>
      <x:c r="I102" s="11"/>
      <x:c r="J102" s="11" t="str">
        <x:v>yes</x:v>
      </x:c>
      <x:c r="K102" s="11" t="str">
        <x:v>age_25_34</x:v>
      </x:c>
      <x:c r="L102" s="11" t="str">
        <x:v>yes</x:v>
      </x:c>
      <x:c r="M102" s="11" t="str">
        <x:v>other_urban</x:v>
      </x:c>
      <x:c r="N102" s="11" t="str">
        <x:v>monthly</x:v>
      </x:c>
      <x:c r="O102" s="16" t="n">
        <x:v>1</x:v>
      </x:c>
      <x:c r="P102" s="16" t="n">
        <x:v>1</x:v>
      </x:c>
      <x:c r="Q102" s="16" t="n">
        <x:v>0</x:v>
      </x:c>
      <x:c r="R102" s="16" t="n">
        <x:v>1</x:v>
      </x:c>
      <x:c r="S102" s="16" t="n">
        <x:v>0</x:v>
      </x:c>
      <x:c r="T102" s="11"/>
      <x:c r="U102" s="11" t="str">
        <x:v>v300k_499k</x:v>
      </x:c>
      <x:c r="V102" s="16" t="n">
        <x:v>1</x:v>
      </x:c>
      <x:c r="W102" s="16" t="n">
        <x:v>1</x:v>
      </x:c>
      <x:c r="X102" s="16" t="n">
        <x:v>1</x:v>
      </x:c>
      <x:c r="Y102" s="16" t="n">
        <x:v>0</x:v>
      </x:c>
      <x:c r="Z102" s="16" t="n">
        <x:v>0</x:v>
      </x:c>
      <x:c r="AA102" s="16" t="n">
        <x:v>0</x:v>
      </x:c>
      <x:c r="AB102" s="16" t="n">
        <x:v>0</x:v>
      </x:c>
      <x:c r="AC102" s="16" t="n">
        <x:v>0</x:v>
      </x:c>
      <x:c r="AD102" s="16" t="n">
        <x:v>0</x:v>
      </x:c>
      <x:c r="AE102" s="11"/>
      <x:c r="AF102" s="11" t="str">
        <x:v>size_uncertain</x:v>
      </x:c>
      <x:c r="AG102" s="11" t="str">
        <x:v>Bảng size chỉ có S/M/L nên khó so với số đo áo đang mặc.</x:v>
      </x:c>
      <x:c r="AH102" s="11" t="str">
        <x:v>yes</x:v>
      </x:c>
      <x:c r="AI102" s="16" t="n">
        <x:v>1</x:v>
      </x:c>
      <x:c r="AJ102" s="16" t="n">
        <x:v>0</x:v>
      </x:c>
      <x:c r="AK102" s="16" t="n">
        <x:v>1</x:v>
      </x:c>
      <x:c r="AL102" s="16" t="n">
        <x:v>1</x:v>
      </x:c>
      <x:c r="AM102" s="16" t="n">
        <x:v>0</x:v>
      </x:c>
      <x:c r="AN102" s="16" t="n">
        <x:v>1</x:v>
      </x:c>
      <x:c r="AO102" s="16" t="n">
        <x:v>0</x:v>
      </x:c>
      <x:c r="AP102" s="16" t="n">
        <x:v>0</x:v>
      </x:c>
      <x:c r="AQ102" s="11"/>
      <x:c r="AR102" s="16" t="n">
        <x:v>1</x:v>
      </x:c>
      <x:c r="AS102" s="16" t="n">
        <x:v>0</x:v>
      </x:c>
      <x:c r="AT102" s="16" t="n">
        <x:v>0</x:v>
      </x:c>
      <x:c r="AU102" s="16" t="n">
        <x:v>0</x:v>
      </x:c>
      <x:c r="AV102" s="16" t="n">
        <x:v>0</x:v>
      </x:c>
      <x:c r="AW102" s="16" t="n">
        <x:v>0</x:v>
      </x:c>
      <x:c r="AX102" s="16" t="n">
        <x:v>1</x:v>
      </x:c>
      <x:c r="AY102" s="16" t="n">
        <x:v>1</x:v>
      </x:c>
      <x:c r="AZ102" s="16" t="n">
        <x:v>0</x:v>
      </x:c>
      <x:c r="BA102" s="11"/>
      <x:c r="BB102" s="11" t="str">
        <x:v>cod</x:v>
      </x:c>
      <x:c r="BC102" s="11" t="str">
        <x:v>Muốn nhận hàng rồi mới thanh toán.</x:v>
      </x:c>
      <x:c r="BD102" s="11" t="str">
        <x:v>guest</x:v>
      </x:c>
      <x:c r="BE102" s="16" t="n">
        <x:v>1</x:v>
      </x:c>
      <x:c r="BF102" s="16" t="n">
        <x:v>1</x:v>
      </x:c>
      <x:c r="BG102" s="16" t="n">
        <x:v>0</x:v>
      </x:c>
      <x:c r="BH102" s="16" t="n">
        <x:v>1</x:v>
      </x:c>
      <x:c r="BI102" s="16" t="n">
        <x:v>1</x:v>
      </x:c>
      <x:c r="BJ102" s="16" t="n">
        <x:v>1</x:v>
      </x:c>
      <x:c r="BK102" s="16" t="n">
        <x:v>1</x:v>
      </x:c>
      <x:c r="BL102" s="11" t="str">
        <x:v>very_willing</x:v>
      </x:c>
      <x:c r="BM102" s="11" t="str">
        <x:v>Thêm bảng số đo chi tiết theo từng mẫu.</x:v>
      </x:c>
    </x:row>
    <x:row r="103" ht="64" customHeight="1">
      <x:c r="A103" s="12" t="str">
        <x:v>SYN-PH-098</x:v>
      </x:c>
      <x:c r="B103" s="12" t="str">
        <x:v>SYN</x:v>
      </x:c>
      <x:c r="C103" s="12" t="str">
        <x:v>N6</x:v>
      </x:c>
      <x:c r="D103" s="15" t="n">
        <x:v>6.4</x:v>
      </x:c>
      <x:c r="E103" s="17" t="n">
        <x:v>1</x:v>
      </x:c>
      <x:c r="F103" s="17" t="n">
        <x:v>1</x:v>
      </x:c>
      <x:c r="G103" s="12" t="str">
        <x:v>valid</x:v>
      </x:c>
      <x:c r="H103" s="12"/>
      <x:c r="I103" s="12"/>
      <x:c r="J103" s="12" t="str">
        <x:v>yes</x:v>
      </x:c>
      <x:c r="K103" s="12" t="str">
        <x:v>age_18_24</x:v>
      </x:c>
      <x:c r="L103" s="12" t="str">
        <x:v>yes</x:v>
      </x:c>
      <x:c r="M103" s="12" t="str">
        <x:v>danang</x:v>
      </x:c>
      <x:c r="N103" s="12" t="str">
        <x:v>every_2_3_months</x:v>
      </x:c>
      <x:c r="O103" s="17" t="n">
        <x:v>1</x:v>
      </x:c>
      <x:c r="P103" s="17" t="n">
        <x:v>0</x:v>
      </x:c>
      <x:c r="Q103" s="17" t="n">
        <x:v>0</x:v>
      </x:c>
      <x:c r="R103" s="17" t="n">
        <x:v>1</x:v>
      </x:c>
      <x:c r="S103" s="17" t="n">
        <x:v>0</x:v>
      </x:c>
      <x:c r="T103" s="12"/>
      <x:c r="U103" s="12" t="str">
        <x:v>v300k_499k</x:v>
      </x:c>
      <x:c r="V103" s="17" t="n">
        <x:v>1</x:v>
      </x:c>
      <x:c r="W103" s="17" t="n">
        <x:v>1</x:v>
      </x:c>
      <x:c r="X103" s="17" t="n">
        <x:v>1</x:v>
      </x:c>
      <x:c r="Y103" s="17" t="n">
        <x:v>1</x:v>
      </x:c>
      <x:c r="Z103" s="17" t="n">
        <x:v>0</x:v>
      </x:c>
      <x:c r="AA103" s="17" t="n">
        <x:v>1</x:v>
      </x:c>
      <x:c r="AB103" s="17" t="n">
        <x:v>0</x:v>
      </x:c>
      <x:c r="AC103" s="17" t="n">
        <x:v>0</x:v>
      </x:c>
      <x:c r="AD103" s="17" t="n">
        <x:v>0</x:v>
      </x:c>
      <x:c r="AE103" s="12"/>
      <x:c r="AF103" s="12" t="str">
        <x:v>tracking_unclear</x:v>
      </x:c>
      <x:c r="AG103" s="12" t="str">
        <x:v>Ngày giao dự kiến thay đổi mà thiếu giải thích.</x:v>
      </x:c>
      <x:c r="AH103" s="12" t="str">
        <x:v>yes</x:v>
      </x:c>
      <x:c r="AI103" s="17" t="n">
        <x:v>1</x:v>
      </x:c>
      <x:c r="AJ103" s="17" t="n">
        <x:v>1</x:v>
      </x:c>
      <x:c r="AK103" s="17" t="n">
        <x:v>1</x:v>
      </x:c>
      <x:c r="AL103" s="17" t="n">
        <x:v>0</x:v>
      </x:c>
      <x:c r="AM103" s="17" t="n">
        <x:v>1</x:v>
      </x:c>
      <x:c r="AN103" s="17" t="n">
        <x:v>0</x:v>
      </x:c>
      <x:c r="AO103" s="17" t="n">
        <x:v>0</x:v>
      </x:c>
      <x:c r="AP103" s="17" t="n">
        <x:v>0</x:v>
      </x:c>
      <x:c r="AQ103" s="12"/>
      <x:c r="AR103" s="17" t="n">
        <x:v>1</x:v>
      </x:c>
      <x:c r="AS103" s="17" t="n">
        <x:v>0</x:v>
      </x:c>
      <x:c r="AT103" s="17" t="n">
        <x:v>0</x:v>
      </x:c>
      <x:c r="AU103" s="17" t="n">
        <x:v>0</x:v>
      </x:c>
      <x:c r="AV103" s="17" t="n">
        <x:v>1</x:v>
      </x:c>
      <x:c r="AW103" s="17" t="n">
        <x:v>0</x:v>
      </x:c>
      <x:c r="AX103" s="17" t="n">
        <x:v>0</x:v>
      </x:c>
      <x:c r="AY103" s="17" t="n">
        <x:v>1</x:v>
      </x:c>
      <x:c r="AZ103" s="17" t="n">
        <x:v>0</x:v>
      </x:c>
      <x:c r="BA103" s="12"/>
      <x:c r="BB103" s="12" t="str">
        <x:v>cod</x:v>
      </x:c>
      <x:c r="BC103" s="12" t="str">
        <x:v>Thuận tiện với cách nhận hàng gần đây.</x:v>
      </x:c>
      <x:c r="BD103" s="12" t="str">
        <x:v>guest</x:v>
      </x:c>
      <x:c r="BE103" s="17" t="n">
        <x:v>1</x:v>
      </x:c>
      <x:c r="BF103" s="17" t="n">
        <x:v>1</x:v>
      </x:c>
      <x:c r="BG103" s="17" t="n">
        <x:v>1</x:v>
      </x:c>
      <x:c r="BH103" s="17" t="n">
        <x:v>0</x:v>
      </x:c>
      <x:c r="BI103" s="17" t="n">
        <x:v>1</x:v>
      </x:c>
      <x:c r="BJ103" s="17" t="n">
        <x:v>1</x:v>
      </x:c>
      <x:c r="BK103" s="17" t="n">
        <x:v>0</x:v>
      </x:c>
      <x:c r="BL103" s="12" t="str">
        <x:v>very_willing</x:v>
      </x:c>
      <x:c r="BM103" s="12" t="str">
        <x:v>Hiển thị mốc giao hàng và thông tin riêng từng kiện.</x:v>
      </x:c>
    </x:row>
    <x:row r="104" ht="64" customHeight="1">
      <x:c r="A104" s="11" t="str">
        <x:v>SYN-PH-099</x:v>
      </x:c>
      <x:c r="B104" s="11" t="str">
        <x:v>SYN</x:v>
      </x:c>
      <x:c r="C104" s="11" t="str">
        <x:v>N6</x:v>
      </x:c>
      <x:c r="D104" s="14" t="n">
        <x:v>12</x:v>
      </x:c>
      <x:c r="E104" s="16" t="n">
        <x:v>1</x:v>
      </x:c>
      <x:c r="F104" s="16" t="n">
        <x:v>1</x:v>
      </x:c>
      <x:c r="G104" s="11" t="str">
        <x:v>valid</x:v>
      </x:c>
      <x:c r="H104" s="11"/>
      <x:c r="I104" s="11"/>
      <x:c r="J104" s="11" t="str">
        <x:v>yes</x:v>
      </x:c>
      <x:c r="K104" s="11" t="str">
        <x:v>age_35_44</x:v>
      </x:c>
      <x:c r="L104" s="11" t="str">
        <x:v>yes</x:v>
      </x:c>
      <x:c r="M104" s="11" t="str">
        <x:v>hcm</x:v>
      </x:c>
      <x:c r="N104" s="11" t="str">
        <x:v>monthly_2_3</x:v>
      </x:c>
      <x:c r="O104" s="16" t="n">
        <x:v>1</x:v>
      </x:c>
      <x:c r="P104" s="16" t="n">
        <x:v>0</x:v>
      </x:c>
      <x:c r="Q104" s="16" t="n">
        <x:v>0</x:v>
      </x:c>
      <x:c r="R104" s="16" t="n">
        <x:v>0</x:v>
      </x:c>
      <x:c r="S104" s="16" t="n">
        <x:v>0</x:v>
      </x:c>
      <x:c r="T104" s="11"/>
      <x:c r="U104" s="11" t="str">
        <x:v>v800k_1199k</x:v>
      </x:c>
      <x:c r="V104" s="16" t="n">
        <x:v>1</x:v>
      </x:c>
      <x:c r="W104" s="16" t="n">
        <x:v>0</x:v>
      </x:c>
      <x:c r="X104" s="16" t="n">
        <x:v>1</x:v>
      </x:c>
      <x:c r="Y104" s="16" t="n">
        <x:v>0</x:v>
      </x:c>
      <x:c r="Z104" s="16" t="n">
        <x:v>0</x:v>
      </x:c>
      <x:c r="AA104" s="16" t="n">
        <x:v>0</x:v>
      </x:c>
      <x:c r="AB104" s="16" t="n">
        <x:v>0</x:v>
      </x:c>
      <x:c r="AC104" s="16" t="n">
        <x:v>0</x:v>
      </x:c>
      <x:c r="AD104" s="16" t="n">
        <x:v>0</x:v>
      </x:c>
      <x:c r="AE104" s="11"/>
      <x:c r="AF104" s="11" t="str">
        <x:v>returns_unclear</x:v>
      </x:c>
      <x:c r="AG104" s="11" t="str">
        <x:v>Chính sách đổi hàng không nêu trường hợp mặc thử.</x:v>
      </x:c>
      <x:c r="AH104" s="11" t="str">
        <x:v>no</x:v>
      </x:c>
      <x:c r="AI104" s="16"/>
      <x:c r="AJ104" s="16"/>
      <x:c r="AK104" s="16"/>
      <x:c r="AL104" s="16"/>
      <x:c r="AM104" s="16"/>
      <x:c r="AN104" s="16"/>
      <x:c r="AO104" s="16"/>
      <x:c r="AP104" s="16"/>
      <x:c r="AQ104" s="11"/>
      <x:c r="AR104" s="16" t="n">
        <x:v>1</x:v>
      </x:c>
      <x:c r="AS104" s="16" t="n">
        <x:v>0</x:v>
      </x:c>
      <x:c r="AT104" s="16" t="n">
        <x:v>0</x:v>
      </x:c>
      <x:c r="AU104" s="16" t="n">
        <x:v>0</x:v>
      </x:c>
      <x:c r="AV104" s="16" t="n">
        <x:v>1</x:v>
      </x:c>
      <x:c r="AW104" s="16" t="n">
        <x:v>0</x:v>
      </x:c>
      <x:c r="AX104" s="16" t="n">
        <x:v>0</x:v>
      </x:c>
      <x:c r="AY104" s="16" t="n">
        <x:v>0</x:v>
      </x:c>
      <x:c r="AZ104" s="16" t="n">
        <x:v>0</x:v>
      </x:c>
      <x:c r="BA104" s="11"/>
      <x:c r="BB104" s="11" t="str">
        <x:v>prepaid</x:v>
      </x:c>
      <x:c r="BC104" s="11" t="str">
        <x:v>Tiện cho người nhận không cần chuẩn bị tiền.</x:v>
      </x:c>
      <x:c r="BD104" s="11" t="str">
        <x:v>guest</x:v>
      </x:c>
      <x:c r="BE104" s="16" t="n">
        <x:v>1</x:v>
      </x:c>
      <x:c r="BF104" s="16" t="n">
        <x:v>0</x:v>
      </x:c>
      <x:c r="BG104" s="16" t="n">
        <x:v>1</x:v>
      </x:c>
      <x:c r="BH104" s="16" t="n">
        <x:v>1</x:v>
      </x:c>
      <x:c r="BI104" s="16" t="n">
        <x:v>1</x:v>
      </x:c>
      <x:c r="BJ104" s="16" t="n">
        <x:v>1</x:v>
      </x:c>
      <x:c r="BK104" s="16" t="n">
        <x:v>1</x:v>
      </x:c>
      <x:c r="BL104" s="11" t="str">
        <x:v>fairly_willing</x:v>
      </x:c>
      <x:c r="BM104" s="11" t="str">
        <x:v>Giải thích các bước đổi hàng và phí phát sinh.</x:v>
      </x:c>
    </x:row>
    <x:row r="105" ht="64" customHeight="1">
      <x:c r="A105" s="12" t="str">
        <x:v>SYN-PH-100</x:v>
      </x:c>
      <x:c r="B105" s="12" t="str">
        <x:v>SYN</x:v>
      </x:c>
      <x:c r="C105" s="12" t="str">
        <x:v>N6</x:v>
      </x:c>
      <x:c r="D105" s="15" t="n">
        <x:v>9</x:v>
      </x:c>
      <x:c r="E105" s="17" t="n">
        <x:v>1</x:v>
      </x:c>
      <x:c r="F105" s="17" t="n">
        <x:v>1</x:v>
      </x:c>
      <x:c r="G105" s="12" t="str">
        <x:v>valid</x:v>
      </x:c>
      <x:c r="H105" s="12"/>
      <x:c r="I105" s="12"/>
      <x:c r="J105" s="12" t="str">
        <x:v>yes</x:v>
      </x:c>
      <x:c r="K105" s="12" t="str">
        <x:v>age_25_34</x:v>
      </x:c>
      <x:c r="L105" s="12" t="str">
        <x:v>yes</x:v>
      </x:c>
      <x:c r="M105" s="12" t="str">
        <x:v>hanoi</x:v>
      </x:c>
      <x:c r="N105" s="12" t="str">
        <x:v>monthly</x:v>
      </x:c>
      <x:c r="O105" s="17" t="n">
        <x:v>1</x:v>
      </x:c>
      <x:c r="P105" s="17" t="n">
        <x:v>1</x:v>
      </x:c>
      <x:c r="Q105" s="17" t="n">
        <x:v>0</x:v>
      </x:c>
      <x:c r="R105" s="17" t="n">
        <x:v>0</x:v>
      </x:c>
      <x:c r="S105" s="17" t="n">
        <x:v>0</x:v>
      </x:c>
      <x:c r="T105" s="12"/>
      <x:c r="U105" s="12" t="str">
        <x:v>v500k_799k</x:v>
      </x:c>
      <x:c r="V105" s="17" t="n">
        <x:v>1</x:v>
      </x:c>
      <x:c r="W105" s="17" t="n">
        <x:v>1</x:v>
      </x:c>
      <x:c r="X105" s="17" t="n">
        <x:v>0</x:v>
      </x:c>
      <x:c r="Y105" s="17" t="n">
        <x:v>0</x:v>
      </x:c>
      <x:c r="Z105" s="17" t="n">
        <x:v>1</x:v>
      </x:c>
      <x:c r="AA105" s="17" t="n">
        <x:v>0</x:v>
      </x:c>
      <x:c r="AB105" s="17" t="n">
        <x:v>0</x:v>
      </x:c>
      <x:c r="AC105" s="17" t="n">
        <x:v>0</x:v>
      </x:c>
      <x:c r="AD105" s="17" t="n">
        <x:v>0</x:v>
      </x:c>
      <x:c r="AE105" s="12"/>
      <x:c r="AF105" s="12" t="str">
        <x:v>size_uncertain</x:v>
      </x:c>
      <x:c r="AG105" s="12" t="str">
        <x:v>Bảng size chỉ có S/M/L nên khó so với số đo áo đang mặc.</x:v>
      </x:c>
      <x:c r="AH105" s="12" t="str">
        <x:v>yes</x:v>
      </x:c>
      <x:c r="AI105" s="17" t="n">
        <x:v>1</x:v>
      </x:c>
      <x:c r="AJ105" s="17" t="n">
        <x:v>1</x:v>
      </x:c>
      <x:c r="AK105" s="17" t="n">
        <x:v>1</x:v>
      </x:c>
      <x:c r="AL105" s="17" t="n">
        <x:v>0</x:v>
      </x:c>
      <x:c r="AM105" s="17" t="n">
        <x:v>0</x:v>
      </x:c>
      <x:c r="AN105" s="17" t="n">
        <x:v>0</x:v>
      </x:c>
      <x:c r="AO105" s="17" t="n">
        <x:v>0</x:v>
      </x:c>
      <x:c r="AP105" s="17" t="n">
        <x:v>0</x:v>
      </x:c>
      <x:c r="AQ105" s="12"/>
      <x:c r="AR105" s="17" t="n">
        <x:v>0</x:v>
      </x:c>
      <x:c r="AS105" s="17" t="n">
        <x:v>0</x:v>
      </x:c>
      <x:c r="AT105" s="17" t="n">
        <x:v>0</x:v>
      </x:c>
      <x:c r="AU105" s="17" t="n">
        <x:v>1</x:v>
      </x:c>
      <x:c r="AV105" s="17" t="n">
        <x:v>0</x:v>
      </x:c>
      <x:c r="AW105" s="17" t="n">
        <x:v>0</x:v>
      </x:c>
      <x:c r="AX105" s="17" t="n">
        <x:v>0</x:v>
      </x:c>
      <x:c r="AY105" s="17" t="n">
        <x:v>1</x:v>
      </x:c>
      <x:c r="AZ105" s="17" t="n">
        <x:v>0</x:v>
      </x:c>
      <x:c r="BA105" s="12"/>
      <x:c r="BB105" s="12" t="str">
        <x:v>cod</x:v>
      </x:c>
      <x:c r="BC105" s="12" t="str">
        <x:v>Thuận tiện với cách nhận hàng gần đây.</x:v>
      </x:c>
      <x:c r="BD105" s="12" t="str">
        <x:v>depends_on_benefits</x:v>
      </x:c>
      <x:c r="BE105" s="17" t="n">
        <x:v>0</x:v>
      </x:c>
      <x:c r="BF105" s="17" t="n">
        <x:v>0</x:v>
      </x:c>
      <x:c r="BG105" s="17" t="n">
        <x:v>1</x:v>
      </x:c>
      <x:c r="BH105" s="17" t="n">
        <x:v>0</x:v>
      </x:c>
      <x:c r="BI105" s="17" t="n">
        <x:v>1</x:v>
      </x:c>
      <x:c r="BJ105" s="17" t="n">
        <x:v>1</x:v>
      </x:c>
      <x:c r="BK105" s="17" t="n">
        <x:v>0</x:v>
      </x:c>
      <x:c r="BL105" s="12" t="str">
        <x:v>fairly_willing</x:v>
      </x:c>
      <x:c r="BM105" s="12" t="str">
        <x:v>Thêm bảng số đo chi tiết theo từng mẫu.</x:v>
      </x:c>
    </x:row>
    <x:row r="106" ht="64" customHeight="1">
      <x:c r="A106" s="11" t="str">
        <x:v>SYN-PH-101</x:v>
      </x:c>
      <x:c r="B106" s="11" t="str">
        <x:v>SYN</x:v>
      </x:c>
      <x:c r="C106" s="11" t="str">
        <x:v>N6</x:v>
      </x:c>
      <x:c r="D106" s="14" t="n">
        <x:v>7.4</x:v>
      </x:c>
      <x:c r="E106" s="16" t="n">
        <x:v>1</x:v>
      </x:c>
      <x:c r="F106" s="16" t="n">
        <x:v>1</x:v>
      </x:c>
      <x:c r="G106" s="11" t="str">
        <x:v>valid</x:v>
      </x:c>
      <x:c r="H106" s="11"/>
      <x:c r="I106" s="11"/>
      <x:c r="J106" s="11" t="str">
        <x:v>yes</x:v>
      </x:c>
      <x:c r="K106" s="11" t="str">
        <x:v>age_25_34</x:v>
      </x:c>
      <x:c r="L106" s="11" t="str">
        <x:v>yes</x:v>
      </x:c>
      <x:c r="M106" s="11" t="str">
        <x:v>hcm</x:v>
      </x:c>
      <x:c r="N106" s="11" t="str">
        <x:v>monthly_2_3</x:v>
      </x:c>
      <x:c r="O106" s="16" t="n">
        <x:v>0</x:v>
      </x:c>
      <x:c r="P106" s="16" t="n">
        <x:v>1</x:v>
      </x:c>
      <x:c r="Q106" s="16" t="n">
        <x:v>0</x:v>
      </x:c>
      <x:c r="R106" s="16" t="n">
        <x:v>0</x:v>
      </x:c>
      <x:c r="S106" s="16" t="n">
        <x:v>1</x:v>
      </x:c>
      <x:c r="T106" s="11" t="str">
        <x:v>Danh mục bán hàng trong cộng đồng sở thích</x:v>
      </x:c>
      <x:c r="U106" s="11" t="str">
        <x:v>v300k_499k</x:v>
      </x:c>
      <x:c r="V106" s="16" t="n">
        <x:v>1</x:v>
      </x:c>
      <x:c r="W106" s="16" t="n">
        <x:v>1</x:v>
      </x:c>
      <x:c r="X106" s="16" t="n">
        <x:v>1</x:v>
      </x:c>
      <x:c r="Y106" s="16" t="n">
        <x:v>0</x:v>
      </x:c>
      <x:c r="Z106" s="16" t="n">
        <x:v>0</x:v>
      </x:c>
      <x:c r="AA106" s="16" t="n">
        <x:v>0</x:v>
      </x:c>
      <x:c r="AB106" s="16" t="n">
        <x:v>1</x:v>
      </x:c>
      <x:c r="AC106" s="16" t="n">
        <x:v>0</x:v>
      </x:c>
      <x:c r="AD106" s="16" t="n">
        <x:v>0</x:v>
      </x:c>
      <x:c r="AE106" s="11"/>
      <x:c r="AF106" s="11" t="str">
        <x:v>payment_concern</x:v>
      </x:c>
      <x:c r="AG106" s="11" t="str">
        <x:v>Khó xác nhận trạng thái khi thanh toán tải lâu.</x:v>
      </x:c>
      <x:c r="AH106" s="11" t="str">
        <x:v>yes</x:v>
      </x:c>
      <x:c r="AI106" s="16" t="n">
        <x:v>1</x:v>
      </x:c>
      <x:c r="AJ106" s="16" t="n">
        <x:v>1</x:v>
      </x:c>
      <x:c r="AK106" s="16" t="n">
        <x:v>0</x:v>
      </x:c>
      <x:c r="AL106" s="16" t="n">
        <x:v>0</x:v>
      </x:c>
      <x:c r="AM106" s="16" t="n">
        <x:v>1</x:v>
      </x:c>
      <x:c r="AN106" s="16" t="n">
        <x:v>0</x:v>
      </x:c>
      <x:c r="AO106" s="16" t="n">
        <x:v>1</x:v>
      </x:c>
      <x:c r="AP106" s="16" t="n">
        <x:v>0</x:v>
      </x:c>
      <x:c r="AQ106" s="11"/>
      <x:c r="AR106" s="16" t="n">
        <x:v>1</x:v>
      </x:c>
      <x:c r="AS106" s="16" t="n">
        <x:v>1</x:v>
      </x:c>
      <x:c r="AT106" s="16" t="n">
        <x:v>0</x:v>
      </x:c>
      <x:c r="AU106" s="16" t="n">
        <x:v>0</x:v>
      </x:c>
      <x:c r="AV106" s="16" t="n">
        <x:v>0</x:v>
      </x:c>
      <x:c r="AW106" s="16" t="n">
        <x:v>0</x:v>
      </x:c>
      <x:c r="AX106" s="16" t="n">
        <x:v>1</x:v>
      </x:c>
      <x:c r="AY106" s="16" t="n">
        <x:v>0</x:v>
      </x:c>
      <x:c r="AZ106" s="16" t="n">
        <x:v>0</x:v>
      </x:c>
      <x:c r="BA106" s="11"/>
      <x:c r="BB106" s="11" t="str">
        <x:v>cod</x:v>
      </x:c>
      <x:c r="BC106" s="11" t="str">
        <x:v>Thuận tiện với cách nhận hàng gần đây.</x:v>
      </x:c>
      <x:c r="BD106" s="11" t="str">
        <x:v>register_now</x:v>
      </x:c>
      <x:c r="BE106" s="16" t="n">
        <x:v>1</x:v>
      </x:c>
      <x:c r="BF106" s="16" t="n">
        <x:v>1</x:v>
      </x:c>
      <x:c r="BG106" s="16" t="n">
        <x:v>1</x:v>
      </x:c>
      <x:c r="BH106" s="16" t="n">
        <x:v>1</x:v>
      </x:c>
      <x:c r="BI106" s="16" t="n">
        <x:v>0</x:v>
      </x:c>
      <x:c r="BJ106" s="16" t="n">
        <x:v>1</x:v>
      </x:c>
      <x:c r="BK106" s="16" t="n">
        <x:v>1</x:v>
      </x:c>
      <x:c r="BL106" s="11" t="str">
        <x:v>fairly_willing</x:v>
      </x:c>
      <x:c r="BM106" s="11" t="str">
        <x:v>Có xác nhận rõ kết quả thanh toán và hướng dẫn khi lỗi.</x:v>
      </x:c>
    </x:row>
    <x:row r="107" ht="64" customHeight="1">
      <x:c r="A107" s="12" t="str">
        <x:v>SYN-PH-102</x:v>
      </x:c>
      <x:c r="B107" s="12" t="str">
        <x:v>SYN</x:v>
      </x:c>
      <x:c r="C107" s="12" t="str">
        <x:v>N6</x:v>
      </x:c>
      <x:c r="D107" s="15" t="n">
        <x:v>12</x:v>
      </x:c>
      <x:c r="E107" s="17" t="n">
        <x:v>1</x:v>
      </x:c>
      <x:c r="F107" s="17" t="n">
        <x:v>1</x:v>
      </x:c>
      <x:c r="G107" s="12" t="str">
        <x:v>valid</x:v>
      </x:c>
      <x:c r="H107" s="12"/>
      <x:c r="I107" s="12"/>
      <x:c r="J107" s="12" t="str">
        <x:v>yes</x:v>
      </x:c>
      <x:c r="K107" s="12" t="str">
        <x:v>age_25_34</x:v>
      </x:c>
      <x:c r="L107" s="12" t="str">
        <x:v>yes</x:v>
      </x:c>
      <x:c r="M107" s="12" t="str">
        <x:v>hanoi</x:v>
      </x:c>
      <x:c r="N107" s="12" t="str">
        <x:v>monthly</x:v>
      </x:c>
      <x:c r="O107" s="17" t="n">
        <x:v>1</x:v>
      </x:c>
      <x:c r="P107" s="17" t="n">
        <x:v>0</x:v>
      </x:c>
      <x:c r="Q107" s="17" t="n">
        <x:v>0</x:v>
      </x:c>
      <x:c r="R107" s="17" t="n">
        <x:v>0</x:v>
      </x:c>
      <x:c r="S107" s="17" t="n">
        <x:v>0</x:v>
      </x:c>
      <x:c r="T107" s="12"/>
      <x:c r="U107" s="12" t="str">
        <x:v>cannot_recall</x:v>
      </x:c>
      <x:c r="V107" s="17" t="n">
        <x:v>1</x:v>
      </x:c>
      <x:c r="W107" s="17" t="n">
        <x:v>0</x:v>
      </x:c>
      <x:c r="X107" s="17" t="n">
        <x:v>1</x:v>
      </x:c>
      <x:c r="Y107" s="17" t="n">
        <x:v>1</x:v>
      </x:c>
      <x:c r="Z107" s="17" t="n">
        <x:v>0</x:v>
      </x:c>
      <x:c r="AA107" s="17" t="n">
        <x:v>1</x:v>
      </x:c>
      <x:c r="AB107" s="17" t="n">
        <x:v>1</x:v>
      </x:c>
      <x:c r="AC107" s="17" t="n">
        <x:v>0</x:v>
      </x:c>
      <x:c r="AD107" s="17" t="n">
        <x:v>0</x:v>
      </x:c>
      <x:c r="AE107" s="12"/>
      <x:c r="AF107" s="12" t="str">
        <x:v>tracking_unclear</x:v>
      </x:c>
      <x:c r="AG107" s="12" t="str">
        <x:v>Một đơn có nhiều kiện nhưng chỉ thấy trạng thái chung.</x:v>
      </x:c>
      <x:c r="AH107" s="12" t="str">
        <x:v>no</x:v>
      </x:c>
      <x:c r="AI107" s="17"/>
      <x:c r="AJ107" s="17"/>
      <x:c r="AK107" s="17"/>
      <x:c r="AL107" s="17"/>
      <x:c r="AM107" s="17"/>
      <x:c r="AN107" s="17"/>
      <x:c r="AO107" s="17"/>
      <x:c r="AP107" s="17"/>
      <x:c r="AQ107" s="12"/>
      <x:c r="AR107" s="17" t="n">
        <x:v>1</x:v>
      </x:c>
      <x:c r="AS107" s="17" t="n">
        <x:v>0</x:v>
      </x:c>
      <x:c r="AT107" s="17" t="n">
        <x:v>0</x:v>
      </x:c>
      <x:c r="AU107" s="17" t="n">
        <x:v>0</x:v>
      </x:c>
      <x:c r="AV107" s="17" t="n">
        <x:v>0</x:v>
      </x:c>
      <x:c r="AW107" s="17" t="n">
        <x:v>0</x:v>
      </x:c>
      <x:c r="AX107" s="17" t="n">
        <x:v>1</x:v>
      </x:c>
      <x:c r="AY107" s="17" t="n">
        <x:v>0</x:v>
      </x:c>
      <x:c r="AZ107" s="17" t="n">
        <x:v>0</x:v>
      </x:c>
      <x:c r="BA107" s="12"/>
      <x:c r="BB107" s="12" t="str">
        <x:v>cod</x:v>
      </x:c>
      <x:c r="BC107" s="12" t="str">
        <x:v>Muốn nhận hàng rồi mới thanh toán.</x:v>
      </x:c>
      <x:c r="BD107" s="12" t="str">
        <x:v>depends_on_benefits</x:v>
      </x:c>
      <x:c r="BE107" s="17" t="n">
        <x:v>1</x:v>
      </x:c>
      <x:c r="BF107" s="17" t="n">
        <x:v>0</x:v>
      </x:c>
      <x:c r="BG107" s="17" t="n">
        <x:v>1</x:v>
      </x:c>
      <x:c r="BH107" s="17" t="n">
        <x:v>1</x:v>
      </x:c>
      <x:c r="BI107" s="17" t="n">
        <x:v>1</x:v>
      </x:c>
      <x:c r="BJ107" s="17" t="n">
        <x:v>1</x:v>
      </x:c>
      <x:c r="BK107" s="17" t="n">
        <x:v>0</x:v>
      </x:c>
      <x:c r="BL107" s="12" t="str">
        <x:v>unwilling</x:v>
      </x:c>
      <x:c r="BM107" s="12" t="str">
        <x:v>Nêu rõ bước xử lý khi giao không thành công.</x:v>
      </x:c>
    </x:row>
    <x:row r="108" ht="64" customHeight="1">
      <x:c r="A108" s="11" t="str">
        <x:v>SYN-PH-103</x:v>
      </x:c>
      <x:c r="B108" s="11" t="str">
        <x:v>SYN</x:v>
      </x:c>
      <x:c r="C108" s="11" t="str">
        <x:v>N6</x:v>
      </x:c>
      <x:c r="D108" s="14" t="n">
        <x:v>10.2</x:v>
      </x:c>
      <x:c r="E108" s="16" t="n">
        <x:v>1</x:v>
      </x:c>
      <x:c r="F108" s="16" t="n">
        <x:v>1</x:v>
      </x:c>
      <x:c r="G108" s="11" t="str">
        <x:v>valid</x:v>
      </x:c>
      <x:c r="H108" s="11"/>
      <x:c r="I108" s="11"/>
      <x:c r="J108" s="11" t="str">
        <x:v>yes</x:v>
      </x:c>
      <x:c r="K108" s="11" t="str">
        <x:v>age_35_44</x:v>
      </x:c>
      <x:c r="L108" s="11" t="str">
        <x:v>yes</x:v>
      </x:c>
      <x:c r="M108" s="11" t="str">
        <x:v>hcm</x:v>
      </x:c>
      <x:c r="N108" s="11" t="str">
        <x:v>monthly</x:v>
      </x:c>
      <x:c r="O108" s="16" t="n">
        <x:v>1</x:v>
      </x:c>
      <x:c r="P108" s="16" t="n">
        <x:v>0</x:v>
      </x:c>
      <x:c r="Q108" s="16" t="n">
        <x:v>0</x:v>
      </x:c>
      <x:c r="R108" s="16" t="n">
        <x:v>1</x:v>
      </x:c>
      <x:c r="S108" s="16" t="n">
        <x:v>0</x:v>
      </x:c>
      <x:c r="T108" s="11"/>
      <x:c r="U108" s="11" t="str">
        <x:v>under_300k</x:v>
      </x:c>
      <x:c r="V108" s="16" t="n">
        <x:v>0</x:v>
      </x:c>
      <x:c r="W108" s="16" t="n">
        <x:v>0</x:v>
      </x:c>
      <x:c r="X108" s="16" t="n">
        <x:v>1</x:v>
      </x:c>
      <x:c r="Y108" s="16" t="n">
        <x:v>0</x:v>
      </x:c>
      <x:c r="Z108" s="16" t="n">
        <x:v>0</x:v>
      </x:c>
      <x:c r="AA108" s="16" t="n">
        <x:v>0</x:v>
      </x:c>
      <x:c r="AB108" s="16" t="n">
        <x:v>0</x:v>
      </x:c>
      <x:c r="AC108" s="16" t="n">
        <x:v>0</x:v>
      </x:c>
      <x:c r="AD108" s="16" t="n">
        <x:v>0</x:v>
      </x:c>
      <x:c r="AE108" s="11"/>
      <x:c r="AF108" s="11" t="str">
        <x:v>returns_unclear</x:v>
      </x:c>
      <x:c r="AG108" s="11" t="str">
        <x:v>Khó tìm thời hạn đổi size trước khi đặt.</x:v>
      </x:c>
      <x:c r="AH108" s="11" t="str">
        <x:v>yes</x:v>
      </x:c>
      <x:c r="AI108" s="16" t="n">
        <x:v>0</x:v>
      </x:c>
      <x:c r="AJ108" s="16" t="n">
        <x:v>0</x:v>
      </x:c>
      <x:c r="AK108" s="16" t="n">
        <x:v>0</x:v>
      </x:c>
      <x:c r="AL108" s="16" t="n">
        <x:v>0</x:v>
      </x:c>
      <x:c r="AM108" s="16" t="n">
        <x:v>0</x:v>
      </x:c>
      <x:c r="AN108" s="16" t="n">
        <x:v>1</x:v>
      </x:c>
      <x:c r="AO108" s="16" t="n">
        <x:v>0</x:v>
      </x:c>
      <x:c r="AP108" s="16" t="n">
        <x:v>0</x:v>
      </x:c>
      <x:c r="AQ108" s="11"/>
      <x:c r="AR108" s="16" t="n">
        <x:v>0</x:v>
      </x:c>
      <x:c r="AS108" s="16" t="n">
        <x:v>1</x:v>
      </x:c>
      <x:c r="AT108" s="16" t="n">
        <x:v>1</x:v>
      </x:c>
      <x:c r="AU108" s="16" t="n">
        <x:v>0</x:v>
      </x:c>
      <x:c r="AV108" s="16" t="n">
        <x:v>0</x:v>
      </x:c>
      <x:c r="AW108" s="16" t="n">
        <x:v>1</x:v>
      </x:c>
      <x:c r="AX108" s="16" t="n">
        <x:v>0</x:v>
      </x:c>
      <x:c r="AY108" s="16" t="n">
        <x:v>0</x:v>
      </x:c>
      <x:c r="AZ108" s="16" t="n">
        <x:v>0</x:v>
      </x:c>
      <x:c r="BA108" s="11"/>
      <x:c r="BB108" s="11" t="str">
        <x:v>cod</x:v>
      </x:c>
      <x:c r="BC108" s="11" t="str">
        <x:v>Muốn nhận hàng rồi mới thanh toán.</x:v>
      </x:c>
      <x:c r="BD108" s="11" t="str">
        <x:v>depends_on_benefits</x:v>
      </x:c>
      <x:c r="BE108" s="16" t="n">
        <x:v>1</x:v>
      </x:c>
      <x:c r="BF108" s="16" t="n">
        <x:v>1</x:v>
      </x:c>
      <x:c r="BG108" s="16" t="n">
        <x:v>0</x:v>
      </x:c>
      <x:c r="BH108" s="16" t="n">
        <x:v>1</x:v>
      </x:c>
      <x:c r="BI108" s="16" t="n">
        <x:v>1</x:v>
      </x:c>
      <x:c r="BJ108" s="16" t="n">
        <x:v>0</x:v>
      </x:c>
      <x:c r="BK108" s="16" t="n">
        <x:v>0</x:v>
      </x:c>
      <x:c r="BL108" s="11" t="str">
        <x:v>fairly_willing</x:v>
      </x:c>
      <x:c r="BM108" s="11" t="str">
        <x:v>Đưa điều kiện đổi size ngay cạnh nút mua.</x:v>
      </x:c>
    </x:row>
    <x:row r="109" ht="64" customHeight="1">
      <x:c r="A109" s="12" t="str">
        <x:v>SYN-PH-104</x:v>
      </x:c>
      <x:c r="B109" s="12" t="str">
        <x:v>SYN</x:v>
      </x:c>
      <x:c r="C109" s="12" t="str">
        <x:v>N6</x:v>
      </x:c>
      <x:c r="D109" s="15" t="n">
        <x:v>9.9</x:v>
      </x:c>
      <x:c r="E109" s="17" t="n">
        <x:v>1</x:v>
      </x:c>
      <x:c r="F109" s="17" t="n">
        <x:v>1</x:v>
      </x:c>
      <x:c r="G109" s="12" t="str">
        <x:v>valid</x:v>
      </x:c>
      <x:c r="H109" s="12"/>
      <x:c r="I109" s="12"/>
      <x:c r="J109" s="12" t="str">
        <x:v>yes</x:v>
      </x:c>
      <x:c r="K109" s="12" t="str">
        <x:v>age_25_34</x:v>
      </x:c>
      <x:c r="L109" s="12" t="str">
        <x:v>yes</x:v>
      </x:c>
      <x:c r="M109" s="12" t="str">
        <x:v>danang</x:v>
      </x:c>
      <x:c r="N109" s="12" t="str">
        <x:v>monthly</x:v>
      </x:c>
      <x:c r="O109" s="17" t="n">
        <x:v>1</x:v>
      </x:c>
      <x:c r="P109" s="17" t="n">
        <x:v>0</x:v>
      </x:c>
      <x:c r="Q109" s="17" t="n">
        <x:v>1</x:v>
      </x:c>
      <x:c r="R109" s="17" t="n">
        <x:v>1</x:v>
      </x:c>
      <x:c r="S109" s="17" t="n">
        <x:v>0</x:v>
      </x:c>
      <x:c r="T109" s="12"/>
      <x:c r="U109" s="12" t="str">
        <x:v>v800k_1199k</x:v>
      </x:c>
      <x:c r="V109" s="17" t="n">
        <x:v>1</x:v>
      </x:c>
      <x:c r="W109" s="17" t="n">
        <x:v>0</x:v>
      </x:c>
      <x:c r="X109" s="17" t="n">
        <x:v>0</x:v>
      </x:c>
      <x:c r="Y109" s="17" t="n">
        <x:v>0</x:v>
      </x:c>
      <x:c r="Z109" s="17" t="n">
        <x:v>0</x:v>
      </x:c>
      <x:c r="AA109" s="17" t="n">
        <x:v>1</x:v>
      </x:c>
      <x:c r="AB109" s="17" t="n">
        <x:v>0</x:v>
      </x:c>
      <x:c r="AC109" s="17" t="n">
        <x:v>0</x:v>
      </x:c>
      <x:c r="AD109" s="17" t="n">
        <x:v>0</x:v>
      </x:c>
      <x:c r="AE109" s="12"/>
      <x:c r="AF109" s="12" t="str">
        <x:v>size_uncertain</x:v>
      </x:c>
      <x:c r="AG109" s="12" t="str">
        <x:v>Hai mẫu cùng ghi size M nhưng phom mô tả khác nhau.</x:v>
      </x:c>
      <x:c r="AH109" s="12" t="str">
        <x:v>no</x:v>
      </x:c>
      <x:c r="AI109" s="17"/>
      <x:c r="AJ109" s="17"/>
      <x:c r="AK109" s="17"/>
      <x:c r="AL109" s="17"/>
      <x:c r="AM109" s="17"/>
      <x:c r="AN109" s="17"/>
      <x:c r="AO109" s="17"/>
      <x:c r="AP109" s="17"/>
      <x:c r="AQ109" s="12"/>
      <x:c r="AR109" s="17" t="n">
        <x:v>0</x:v>
      </x:c>
      <x:c r="AS109" s="17" t="n">
        <x:v>1</x:v>
      </x:c>
      <x:c r="AT109" s="17" t="n">
        <x:v>0</x:v>
      </x:c>
      <x:c r="AU109" s="17" t="n">
        <x:v>0</x:v>
      </x:c>
      <x:c r="AV109" s="17" t="n">
        <x:v>1</x:v>
      </x:c>
      <x:c r="AW109" s="17" t="n">
        <x:v>0</x:v>
      </x:c>
      <x:c r="AX109" s="17" t="n">
        <x:v>0</x:v>
      </x:c>
      <x:c r="AY109" s="17" t="n">
        <x:v>1</x:v>
      </x:c>
      <x:c r="AZ109" s="17" t="n">
        <x:v>0</x:v>
      </x:c>
      <x:c r="BA109" s="12"/>
      <x:c r="BB109" s="12" t="str">
        <x:v>prepaid</x:v>
      </x:c>
      <x:c r="BC109" s="12" t="str">
        <x:v>Đã quen thao tác thanh toán trước.</x:v>
      </x:c>
      <x:c r="BD109" s="12" t="str">
        <x:v>unsure</x:v>
      </x:c>
      <x:c r="BE109" s="17" t="n">
        <x:v>0</x:v>
      </x:c>
      <x:c r="BF109" s="17" t="n">
        <x:v>1</x:v>
      </x:c>
      <x:c r="BG109" s="17" t="n">
        <x:v>1</x:v>
      </x:c>
      <x:c r="BH109" s="17" t="n">
        <x:v>1</x:v>
      </x:c>
      <x:c r="BI109" s="17" t="n">
        <x:v>1</x:v>
      </x:c>
      <x:c r="BJ109" s="17" t="n">
        <x:v>1</x:v>
      </x:c>
      <x:c r="BK109" s="17" t="n">
        <x:v>0</x:v>
      </x:c>
      <x:c r="BL109" s="12" t="str">
        <x:v>very_willing</x:v>
      </x:c>
      <x:c r="BM109" s="12" t="str">
        <x:v>So sánh size giữa các mẫu quần áo.</x:v>
      </x:c>
    </x:row>
    <x:row r="110" ht="64" customHeight="1">
      <x:c r="A110" s="11" t="str">
        <x:v>SYN-PH-105</x:v>
      </x:c>
      <x:c r="B110" s="11" t="str">
        <x:v>SYN</x:v>
      </x:c>
      <x:c r="C110" s="11" t="str">
        <x:v>N6</x:v>
      </x:c>
      <x:c r="D110" s="14" t="n">
        <x:v>9.2</x:v>
      </x:c>
      <x:c r="E110" s="16" t="n">
        <x:v>1</x:v>
      </x:c>
      <x:c r="F110" s="16" t="n">
        <x:v>1</x:v>
      </x:c>
      <x:c r="G110" s="11" t="str">
        <x:v>valid</x:v>
      </x:c>
      <x:c r="H110" s="11"/>
      <x:c r="I110" s="11"/>
      <x:c r="J110" s="11" t="str">
        <x:v>yes</x:v>
      </x:c>
      <x:c r="K110" s="11" t="str">
        <x:v>age_18_24</x:v>
      </x:c>
      <x:c r="L110" s="11" t="str">
        <x:v>yes</x:v>
      </x:c>
      <x:c r="M110" s="11" t="str">
        <x:v>hcm</x:v>
      </x:c>
      <x:c r="N110" s="11" t="str">
        <x:v>every_2_3_months</x:v>
      </x:c>
      <x:c r="O110" s="16" t="n">
        <x:v>0</x:v>
      </x:c>
      <x:c r="P110" s="16" t="n">
        <x:v>1</x:v>
      </x:c>
      <x:c r="Q110" s="16" t="n">
        <x:v>1</x:v>
      </x:c>
      <x:c r="R110" s="16" t="n">
        <x:v>1</x:v>
      </x:c>
      <x:c r="S110" s="16" t="n">
        <x:v>0</x:v>
      </x:c>
      <x:c r="T110" s="11"/>
      <x:c r="U110" s="11" t="str">
        <x:v>v300k_499k</x:v>
      </x:c>
      <x:c r="V110" s="16" t="n">
        <x:v>0</x:v>
      </x:c>
      <x:c r="W110" s="16" t="n">
        <x:v>0</x:v>
      </x:c>
      <x:c r="X110" s="16" t="n">
        <x:v>0</x:v>
      </x:c>
      <x:c r="Y110" s="16" t="n">
        <x:v>0</x:v>
      </x:c>
      <x:c r="Z110" s="16" t="n">
        <x:v>1</x:v>
      </x:c>
      <x:c r="AA110" s="16" t="n">
        <x:v>0</x:v>
      </x:c>
      <x:c r="AB110" s="16" t="n">
        <x:v>0</x:v>
      </x:c>
      <x:c r="AC110" s="16" t="n">
        <x:v>0</x:v>
      </x:c>
      <x:c r="AD110" s="16" t="n">
        <x:v>0</x:v>
      </x:c>
      <x:c r="AE110" s="11"/>
      <x:c r="AF110" s="11" t="str">
        <x:v>stock_unclear</x:v>
      </x:c>
      <x:c r="AG110" s="11" t="str">
        <x:v>Size còn hiển thị nhưng chỉ báo hết khi đặt.</x:v>
      </x:c>
      <x:c r="AH110" s="11" t="str">
        <x:v>yes</x:v>
      </x:c>
      <x:c r="AI110" s="16" t="n">
        <x:v>0</x:v>
      </x:c>
      <x:c r="AJ110" s="16" t="n">
        <x:v>0</x:v>
      </x:c>
      <x:c r="AK110" s="16" t="n">
        <x:v>0</x:v>
      </x:c>
      <x:c r="AL110" s="16" t="n">
        <x:v>0</x:v>
      </x:c>
      <x:c r="AM110" s="16" t="n">
        <x:v>0</x:v>
      </x:c>
      <x:c r="AN110" s="16" t="n">
        <x:v>1</x:v>
      </x:c>
      <x:c r="AO110" s="16" t="n">
        <x:v>0</x:v>
      </x:c>
      <x:c r="AP110" s="16" t="n">
        <x:v>0</x:v>
      </x:c>
      <x:c r="AQ110" s="11"/>
      <x:c r="AR110" s="16" t="n">
        <x:v>0</x:v>
      </x:c>
      <x:c r="AS110" s="16" t="n">
        <x:v>1</x:v>
      </x:c>
      <x:c r="AT110" s="16" t="n">
        <x:v>0</x:v>
      </x:c>
      <x:c r="AU110" s="16" t="n">
        <x:v>1</x:v>
      </x:c>
      <x:c r="AV110" s="16" t="n">
        <x:v>1</x:v>
      </x:c>
      <x:c r="AW110" s="16" t="n">
        <x:v>0</x:v>
      </x:c>
      <x:c r="AX110" s="16" t="n">
        <x:v>0</x:v>
      </x:c>
      <x:c r="AY110" s="16" t="n">
        <x:v>0</x:v>
      </x:c>
      <x:c r="AZ110" s="16" t="n">
        <x:v>0</x:v>
      </x:c>
      <x:c r="BA110" s="11"/>
      <x:c r="BB110" s="11" t="str">
        <x:v>prepaid</x:v>
      </x:c>
      <x:c r="BC110" s="11" t="str">
        <x:v>Đã quen thao tác thanh toán trước.</x:v>
      </x:c>
      <x:c r="BD110" s="11" t="str">
        <x:v>guest</x:v>
      </x:c>
      <x:c r="BE110" s="16" t="n">
        <x:v>1</x:v>
      </x:c>
      <x:c r="BF110" s="16" t="n">
        <x:v>0</x:v>
      </x:c>
      <x:c r="BG110" s="16" t="n">
        <x:v>1</x:v>
      </x:c>
      <x:c r="BH110" s="16" t="n">
        <x:v>1</x:v>
      </x:c>
      <x:c r="BI110" s="16" t="n">
        <x:v>0</x:v>
      </x:c>
      <x:c r="BJ110" s="16" t="n">
        <x:v>0</x:v>
      </x:c>
      <x:c r="BK110" s="16" t="n">
        <x:v>0</x:v>
      </x:c>
      <x:c r="BL110" s="11" t="str">
        <x:v>fairly_willing</x:v>
      </x:c>
      <x:c r="BM110" s="11" t="str">
        <x:v>Thông báo lựa chọn thay thế khi biến thể hết hàng.</x:v>
      </x:c>
    </x:row>
    <x:row r="111" ht="64" customHeight="1">
      <x:c r="A111" s="12" t="str">
        <x:v>SYN-PH-106</x:v>
      </x:c>
      <x:c r="B111" s="12" t="str">
        <x:v>SYN</x:v>
      </x:c>
      <x:c r="C111" s="12" t="str">
        <x:v>N6</x:v>
      </x:c>
      <x:c r="D111" s="15" t="n">
        <x:v>10</x:v>
      </x:c>
      <x:c r="E111" s="17" t="n">
        <x:v>1</x:v>
      </x:c>
      <x:c r="F111" s="17" t="n">
        <x:v>1</x:v>
      </x:c>
      <x:c r="G111" s="12" t="str">
        <x:v>valid</x:v>
      </x:c>
      <x:c r="H111" s="12"/>
      <x:c r="I111" s="12"/>
      <x:c r="J111" s="12" t="str">
        <x:v>yes</x:v>
      </x:c>
      <x:c r="K111" s="12" t="str">
        <x:v>age_18_24</x:v>
      </x:c>
      <x:c r="L111" s="12" t="str">
        <x:v>yes</x:v>
      </x:c>
      <x:c r="M111" s="12" t="str">
        <x:v>hcm</x:v>
      </x:c>
      <x:c r="N111" s="12" t="str">
        <x:v>monthly_2_3</x:v>
      </x:c>
      <x:c r="O111" s="17" t="n">
        <x:v>1</x:v>
      </x:c>
      <x:c r="P111" s="17" t="n">
        <x:v>0</x:v>
      </x:c>
      <x:c r="Q111" s="17" t="n">
        <x:v>0</x:v>
      </x:c>
      <x:c r="R111" s="17" t="n">
        <x:v>1</x:v>
      </x:c>
      <x:c r="S111" s="17" t="n">
        <x:v>0</x:v>
      </x:c>
      <x:c r="T111" s="12"/>
      <x:c r="U111" s="12" t="str">
        <x:v>v500k_799k</x:v>
      </x:c>
      <x:c r="V111" s="17" t="n">
        <x:v>1</x:v>
      </x:c>
      <x:c r="W111" s="17" t="n">
        <x:v>1</x:v>
      </x:c>
      <x:c r="X111" s="17" t="n">
        <x:v>0</x:v>
      </x:c>
      <x:c r="Y111" s="17" t="n">
        <x:v>0</x:v>
      </x:c>
      <x:c r="Z111" s="17" t="n">
        <x:v>1</x:v>
      </x:c>
      <x:c r="AA111" s="17" t="n">
        <x:v>0</x:v>
      </x:c>
      <x:c r="AB111" s="17" t="n">
        <x:v>1</x:v>
      </x:c>
      <x:c r="AC111" s="17" t="n">
        <x:v>0</x:v>
      </x:c>
      <x:c r="AD111" s="17" t="n">
        <x:v>0</x:v>
      </x:c>
      <x:c r="AE111" s="12"/>
      <x:c r="AF111" s="12" t="str">
        <x:v>stock_unclear</x:v>
      </x:c>
      <x:c r="AG111" s="12" t="str">
        <x:v>Size còn hiển thị nhưng chỉ báo hết khi đặt.</x:v>
      </x:c>
      <x:c r="AH111" s="12" t="str">
        <x:v>yes</x:v>
      </x:c>
      <x:c r="AI111" s="17" t="n">
        <x:v>0</x:v>
      </x:c>
      <x:c r="AJ111" s="17" t="n">
        <x:v>1</x:v>
      </x:c>
      <x:c r="AK111" s="17" t="n">
        <x:v>1</x:v>
      </x:c>
      <x:c r="AL111" s="17" t="n">
        <x:v>0</x:v>
      </x:c>
      <x:c r="AM111" s="17" t="n">
        <x:v>0</x:v>
      </x:c>
      <x:c r="AN111" s="17" t="n">
        <x:v>0</x:v>
      </x:c>
      <x:c r="AO111" s="17" t="n">
        <x:v>1</x:v>
      </x:c>
      <x:c r="AP111" s="17" t="n">
        <x:v>0</x:v>
      </x:c>
      <x:c r="AQ111" s="12"/>
      <x:c r="AR111" s="17" t="n">
        <x:v>1</x:v>
      </x:c>
      <x:c r="AS111" s="17" t="n">
        <x:v>0</x:v>
      </x:c>
      <x:c r="AT111" s="17" t="n">
        <x:v>0</x:v>
      </x:c>
      <x:c r="AU111" s="17" t="n">
        <x:v>1</x:v>
      </x:c>
      <x:c r="AV111" s="17" t="n">
        <x:v>0</x:v>
      </x:c>
      <x:c r="AW111" s="17" t="n">
        <x:v>1</x:v>
      </x:c>
      <x:c r="AX111" s="17" t="n">
        <x:v>0</x:v>
      </x:c>
      <x:c r="AY111" s="17" t="n">
        <x:v>0</x:v>
      </x:c>
      <x:c r="AZ111" s="17" t="n">
        <x:v>0</x:v>
      </x:c>
      <x:c r="BA111" s="12"/>
      <x:c r="BB111" s="12" t="str">
        <x:v>cod</x:v>
      </x:c>
      <x:c r="BC111" s="12" t="str">
        <x:v>Thuận tiện với cách nhận hàng gần đây.</x:v>
      </x:c>
      <x:c r="BD111" s="12" t="str">
        <x:v>guest</x:v>
      </x:c>
      <x:c r="BE111" s="17" t="n">
        <x:v>0</x:v>
      </x:c>
      <x:c r="BF111" s="17" t="n">
        <x:v>0</x:v>
      </x:c>
      <x:c r="BG111" s="17" t="n">
        <x:v>1</x:v>
      </x:c>
      <x:c r="BH111" s="17" t="n">
        <x:v>1</x:v>
      </x:c>
      <x:c r="BI111" s="17" t="n">
        <x:v>1</x:v>
      </x:c>
      <x:c r="BJ111" s="17" t="n">
        <x:v>0</x:v>
      </x:c>
      <x:c r="BK111" s="17" t="n">
        <x:v>1</x:v>
      </x:c>
      <x:c r="BL111" s="12" t="str">
        <x:v>very_willing</x:v>
      </x:c>
      <x:c r="BM111" s="12" t="str">
        <x:v>Hiển thị tồn theo từng size và màu.</x:v>
      </x:c>
    </x:row>
    <x:row r="112" ht="64" customHeight="1">
      <x:c r="A112" s="11" t="str">
        <x:v>SYN-PH-107</x:v>
      </x:c>
      <x:c r="B112" s="11" t="str">
        <x:v>SYN</x:v>
      </x:c>
      <x:c r="C112" s="11" t="str">
        <x:v>N6</x:v>
      </x:c>
      <x:c r="D112" s="14" t="n">
        <x:v>8.1</x:v>
      </x:c>
      <x:c r="E112" s="16" t="n">
        <x:v>1</x:v>
      </x:c>
      <x:c r="F112" s="16" t="n">
        <x:v>1</x:v>
      </x:c>
      <x:c r="G112" s="11" t="str">
        <x:v>valid</x:v>
      </x:c>
      <x:c r="H112" s="11"/>
      <x:c r="I112" s="11"/>
      <x:c r="J112" s="11" t="str">
        <x:v>yes</x:v>
      </x:c>
      <x:c r="K112" s="11" t="str">
        <x:v>age_25_34</x:v>
      </x:c>
      <x:c r="L112" s="11" t="str">
        <x:v>yes</x:v>
      </x:c>
      <x:c r="M112" s="11" t="str">
        <x:v>danang</x:v>
      </x:c>
      <x:c r="N112" s="11" t="str">
        <x:v>monthly</x:v>
      </x:c>
      <x:c r="O112" s="16" t="n">
        <x:v>1</x:v>
      </x:c>
      <x:c r="P112" s="16" t="n">
        <x:v>1</x:v>
      </x:c>
      <x:c r="Q112" s="16" t="n">
        <x:v>1</x:v>
      </x:c>
      <x:c r="R112" s="16" t="n">
        <x:v>1</x:v>
      </x:c>
      <x:c r="S112" s="16" t="n">
        <x:v>0</x:v>
      </x:c>
      <x:c r="T112" s="11"/>
      <x:c r="U112" s="11" t="str">
        <x:v>v300k_499k</x:v>
      </x:c>
      <x:c r="V112" s="16" t="n">
        <x:v>1</x:v>
      </x:c>
      <x:c r="W112" s="16" t="n">
        <x:v>1</x:v>
      </x:c>
      <x:c r="X112" s="16" t="n">
        <x:v>0</x:v>
      </x:c>
      <x:c r="Y112" s="16" t="n">
        <x:v>0</x:v>
      </x:c>
      <x:c r="Z112" s="16" t="n">
        <x:v>1</x:v>
      </x:c>
      <x:c r="AA112" s="16" t="n">
        <x:v>1</x:v>
      </x:c>
      <x:c r="AB112" s="16" t="n">
        <x:v>0</x:v>
      </x:c>
      <x:c r="AC112" s="16" t="n">
        <x:v>0</x:v>
      </x:c>
      <x:c r="AD112" s="16" t="n">
        <x:v>0</x:v>
      </x:c>
      <x:c r="AE112" s="11"/>
      <x:c r="AF112" s="11" t="str">
        <x:v>size_uncertain</x:v>
      </x:c>
      <x:c r="AG112" s="11" t="str">
        <x:v>Hai mẫu cùng ghi size M nhưng phom mô tả khác nhau.</x:v>
      </x:c>
      <x:c r="AH112" s="11" t="str">
        <x:v>yes</x:v>
      </x:c>
      <x:c r="AI112" s="16" t="n">
        <x:v>0</x:v>
      </x:c>
      <x:c r="AJ112" s="16" t="n">
        <x:v>1</x:v>
      </x:c>
      <x:c r="AK112" s="16" t="n">
        <x:v>0</x:v>
      </x:c>
      <x:c r="AL112" s="16" t="n">
        <x:v>1</x:v>
      </x:c>
      <x:c r="AM112" s="16" t="n">
        <x:v>0</x:v>
      </x:c>
      <x:c r="AN112" s="16" t="n">
        <x:v>0</x:v>
      </x:c>
      <x:c r="AO112" s="16" t="n">
        <x:v>0</x:v>
      </x:c>
      <x:c r="AP112" s="16" t="n">
        <x:v>0</x:v>
      </x:c>
      <x:c r="AQ112" s="11"/>
      <x:c r="AR112" s="16" t="n">
        <x:v>1</x:v>
      </x:c>
      <x:c r="AS112" s="16" t="n">
        <x:v>1</x:v>
      </x:c>
      <x:c r="AT112" s="16" t="n">
        <x:v>0</x:v>
      </x:c>
      <x:c r="AU112" s="16" t="n">
        <x:v>0</x:v>
      </x:c>
      <x:c r="AV112" s="16" t="n">
        <x:v>1</x:v>
      </x:c>
      <x:c r="AW112" s="16" t="n">
        <x:v>0</x:v>
      </x:c>
      <x:c r="AX112" s="16" t="n">
        <x:v>0</x:v>
      </x:c>
      <x:c r="AY112" s="16" t="n">
        <x:v>0</x:v>
      </x:c>
      <x:c r="AZ112" s="16" t="n">
        <x:v>0</x:v>
      </x:c>
      <x:c r="BA112" s="11"/>
      <x:c r="BB112" s="11" t="str">
        <x:v>prepaid</x:v>
      </x:c>
      <x:c r="BC112" s="11" t="str">
        <x:v>Phương thức này phù hợp ưu đãi của lần mua.</x:v>
      </x:c>
      <x:c r="BD112" s="11" t="str">
        <x:v>guest</x:v>
      </x:c>
      <x:c r="BE112" s="16" t="n">
        <x:v>0</x:v>
      </x:c>
      <x:c r="BF112" s="16" t="n">
        <x:v>1</x:v>
      </x:c>
      <x:c r="BG112" s="16" t="n">
        <x:v>1</x:v>
      </x:c>
      <x:c r="BH112" s="16" t="n">
        <x:v>1</x:v>
      </x:c>
      <x:c r="BI112" s="16" t="n">
        <x:v>0</x:v>
      </x:c>
      <x:c r="BJ112" s="16" t="n">
        <x:v>0</x:v>
      </x:c>
      <x:c r="BK112" s="16" t="n">
        <x:v>1</x:v>
      </x:c>
      <x:c r="BL112" s="11" t="str">
        <x:v>fairly_willing</x:v>
      </x:c>
      <x:c r="BM112" s="11" t="str">
        <x:v>Thêm bảng số đo chi tiết theo từng mẫu.</x:v>
      </x:c>
    </x:row>
    <x:row r="113" ht="64" customHeight="1">
      <x:c r="A113" s="12" t="str">
        <x:v>SYN-PH-108</x:v>
      </x:c>
      <x:c r="B113" s="12" t="str">
        <x:v>SYN</x:v>
      </x:c>
      <x:c r="C113" s="12" t="str">
        <x:v>N6</x:v>
      </x:c>
      <x:c r="D113" s="15" t="n">
        <x:v>11.6</x:v>
      </x:c>
      <x:c r="E113" s="17" t="n">
        <x:v>1</x:v>
      </x:c>
      <x:c r="F113" s="17" t="n">
        <x:v>1</x:v>
      </x:c>
      <x:c r="G113" s="12" t="str">
        <x:v>valid</x:v>
      </x:c>
      <x:c r="H113" s="12"/>
      <x:c r="I113" s="12"/>
      <x:c r="J113" s="12" t="str">
        <x:v>yes</x:v>
      </x:c>
      <x:c r="K113" s="12" t="str">
        <x:v>age_18_24</x:v>
      </x:c>
      <x:c r="L113" s="12" t="str">
        <x:v>yes</x:v>
      </x:c>
      <x:c r="M113" s="12" t="str">
        <x:v>danang</x:v>
      </x:c>
      <x:c r="N113" s="12" t="str">
        <x:v>monthly_2_3</x:v>
      </x:c>
      <x:c r="O113" s="17" t="n">
        <x:v>1</x:v>
      </x:c>
      <x:c r="P113" s="17" t="n">
        <x:v>1</x:v>
      </x:c>
      <x:c r="Q113" s="17" t="n">
        <x:v>1</x:v>
      </x:c>
      <x:c r="R113" s="17" t="n">
        <x:v>1</x:v>
      </x:c>
      <x:c r="S113" s="17" t="n">
        <x:v>0</x:v>
      </x:c>
      <x:c r="T113" s="12"/>
      <x:c r="U113" s="12" t="str">
        <x:v>v300k_499k</x:v>
      </x:c>
      <x:c r="V113" s="17" t="n">
        <x:v>1</x:v>
      </x:c>
      <x:c r="W113" s="17" t="n">
        <x:v>0</x:v>
      </x:c>
      <x:c r="X113" s="17" t="n">
        <x:v>0</x:v>
      </x:c>
      <x:c r="Y113" s="17" t="n">
        <x:v>1</x:v>
      </x:c>
      <x:c r="Z113" s="17" t="n">
        <x:v>1</x:v>
      </x:c>
      <x:c r="AA113" s="17" t="n">
        <x:v>1</x:v>
      </x:c>
      <x:c r="AB113" s="17" t="n">
        <x:v>0</x:v>
      </x:c>
      <x:c r="AC113" s="17" t="n">
        <x:v>0</x:v>
      </x:c>
      <x:c r="AD113" s="17" t="n">
        <x:v>0</x:v>
      </x:c>
      <x:c r="AE113" s="12"/>
      <x:c r="AF113" s="12" t="str">
        <x:v>size_uncertain</x:v>
      </x:c>
      <x:c r="AG113" s="12" t="str">
        <x:v>Không có số đo vai và chiều dài để chọn size.</x:v>
      </x:c>
      <x:c r="AH113" s="12" t="str">
        <x:v>yes</x:v>
      </x:c>
      <x:c r="AI113" s="17" t="n">
        <x:v>0</x:v>
      </x:c>
      <x:c r="AJ113" s="17" t="n">
        <x:v>0</x:v>
      </x:c>
      <x:c r="AK113" s="17" t="n">
        <x:v>1</x:v>
      </x:c>
      <x:c r="AL113" s="17" t="n">
        <x:v>1</x:v>
      </x:c>
      <x:c r="AM113" s="17" t="n">
        <x:v>1</x:v>
      </x:c>
      <x:c r="AN113" s="17" t="n">
        <x:v>0</x:v>
      </x:c>
      <x:c r="AO113" s="17" t="n">
        <x:v>0</x:v>
      </x:c>
      <x:c r="AP113" s="17" t="n">
        <x:v>0</x:v>
      </x:c>
      <x:c r="AQ113" s="12"/>
      <x:c r="AR113" s="17" t="n">
        <x:v>1</x:v>
      </x:c>
      <x:c r="AS113" s="17" t="n">
        <x:v>0</x:v>
      </x:c>
      <x:c r="AT113" s="17" t="n">
        <x:v>0</x:v>
      </x:c>
      <x:c r="AU113" s="17" t="n">
        <x:v>1</x:v>
      </x:c>
      <x:c r="AV113" s="17" t="n">
        <x:v>1</x:v>
      </x:c>
      <x:c r="AW113" s="17" t="n">
        <x:v>0</x:v>
      </x:c>
      <x:c r="AX113" s="17" t="n">
        <x:v>0</x:v>
      </x:c>
      <x:c r="AY113" s="17" t="n">
        <x:v>0</x:v>
      </x:c>
      <x:c r="AZ113" s="17" t="n">
        <x:v>0</x:v>
      </x:c>
      <x:c r="BA113" s="12"/>
      <x:c r="BB113" s="12" t="str">
        <x:v>prepaid</x:v>
      </x:c>
      <x:c r="BC113" s="12" t="str">
        <x:v>Tiện cho người nhận không cần chuẩn bị tiền.</x:v>
      </x:c>
      <x:c r="BD113" s="12" t="str">
        <x:v>guest</x:v>
      </x:c>
      <x:c r="BE113" s="17" t="n">
        <x:v>1</x:v>
      </x:c>
      <x:c r="BF113" s="17" t="n">
        <x:v>0</x:v>
      </x:c>
      <x:c r="BG113" s="17" t="n">
        <x:v>1</x:v>
      </x:c>
      <x:c r="BH113" s="17" t="n">
        <x:v>1</x:v>
      </x:c>
      <x:c r="BI113" s="17" t="n">
        <x:v>1</x:v>
      </x:c>
      <x:c r="BJ113" s="17" t="n">
        <x:v>0</x:v>
      </x:c>
      <x:c r="BK113" s="17" t="n">
        <x:v>1</x:v>
      </x:c>
      <x:c r="BL113" s="12" t="str">
        <x:v>fairly_willing</x:v>
      </x:c>
      <x:c r="BM113" s="12" t="str">
        <x:v>So sánh size giữa các mẫu quần áo.</x:v>
      </x:c>
    </x:row>
    <x:row r="114" ht="64" customHeight="1">
      <x:c r="A114" s="11" t="str">
        <x:v>SYN-PH-109</x:v>
      </x:c>
      <x:c r="B114" s="11" t="str">
        <x:v>SYN</x:v>
      </x:c>
      <x:c r="C114" s="11" t="str">
        <x:v>N6</x:v>
      </x:c>
      <x:c r="D114" s="14" t="n">
        <x:v>9.1</x:v>
      </x:c>
      <x:c r="E114" s="16" t="n">
        <x:v>1</x:v>
      </x:c>
      <x:c r="F114" s="16" t="n">
        <x:v>1</x:v>
      </x:c>
      <x:c r="G114" s="11" t="str">
        <x:v>valid</x:v>
      </x:c>
      <x:c r="H114" s="11"/>
      <x:c r="I114" s="11"/>
      <x:c r="J114" s="11" t="str">
        <x:v>yes</x:v>
      </x:c>
      <x:c r="K114" s="11" t="str">
        <x:v>age_25_34</x:v>
      </x:c>
      <x:c r="L114" s="11" t="str">
        <x:v>yes</x:v>
      </x:c>
      <x:c r="M114" s="11" t="str">
        <x:v>other_urban</x:v>
      </x:c>
      <x:c r="N114" s="11" t="str">
        <x:v>every_2_3_months</x:v>
      </x:c>
      <x:c r="O114" s="16" t="n">
        <x:v>1</x:v>
      </x:c>
      <x:c r="P114" s="16" t="n">
        <x:v>0</x:v>
      </x:c>
      <x:c r="Q114" s="16" t="n">
        <x:v>1</x:v>
      </x:c>
      <x:c r="R114" s="16" t="n">
        <x:v>0</x:v>
      </x:c>
      <x:c r="S114" s="16" t="n">
        <x:v>0</x:v>
      </x:c>
      <x:c r="T114" s="11"/>
      <x:c r="U114" s="11" t="str">
        <x:v>under_300k</x:v>
      </x:c>
      <x:c r="V114" s="16" t="n">
        <x:v>0</x:v>
      </x:c>
      <x:c r="W114" s="16" t="n">
        <x:v>1</x:v>
      </x:c>
      <x:c r="X114" s="16" t="n">
        <x:v>1</x:v>
      </x:c>
      <x:c r="Y114" s="16" t="n">
        <x:v>1</x:v>
      </x:c>
      <x:c r="Z114" s="16" t="n">
        <x:v>1</x:v>
      </x:c>
      <x:c r="AA114" s="16" t="n">
        <x:v>0</x:v>
      </x:c>
      <x:c r="AB114" s="16" t="n">
        <x:v>1</x:v>
      </x:c>
      <x:c r="AC114" s="16" t="n">
        <x:v>0</x:v>
      </x:c>
      <x:c r="AD114" s="16" t="n">
        <x:v>0</x:v>
      </x:c>
      <x:c r="AE114" s="11"/>
      <x:c r="AF114" s="11" t="str">
        <x:v>late_total</x:v>
      </x:c>
      <x:c r="AG114" s="11" t="str">
        <x:v>Phí giao chỉ hiện ở bước xác nhận cuối.</x:v>
      </x:c>
      <x:c r="AH114" s="11" t="str">
        <x:v>yes</x:v>
      </x:c>
      <x:c r="AI114" s="16" t="n">
        <x:v>1</x:v>
      </x:c>
      <x:c r="AJ114" s="16" t="n">
        <x:v>1</x:v>
      </x:c>
      <x:c r="AK114" s="16" t="n">
        <x:v>1</x:v>
      </x:c>
      <x:c r="AL114" s="16" t="n">
        <x:v>0</x:v>
      </x:c>
      <x:c r="AM114" s="16" t="n">
        <x:v>0</x:v>
      </x:c>
      <x:c r="AN114" s="16" t="n">
        <x:v>0</x:v>
      </x:c>
      <x:c r="AO114" s="16" t="n">
        <x:v>0</x:v>
      </x:c>
      <x:c r="AP114" s="16" t="n">
        <x:v>0</x:v>
      </x:c>
      <x:c r="AQ114" s="11"/>
      <x:c r="AR114" s="16" t="n">
        <x:v>0</x:v>
      </x:c>
      <x:c r="AS114" s="16" t="n">
        <x:v>0</x:v>
      </x:c>
      <x:c r="AT114" s="16" t="n">
        <x:v>1</x:v>
      </x:c>
      <x:c r="AU114" s="16" t="n">
        <x:v>1</x:v>
      </x:c>
      <x:c r="AV114" s="16" t="n">
        <x:v>1</x:v>
      </x:c>
      <x:c r="AW114" s="16" t="n">
        <x:v>0</x:v>
      </x:c>
      <x:c r="AX114" s="16" t="n">
        <x:v>0</x:v>
      </x:c>
      <x:c r="AY114" s="16" t="n">
        <x:v>0</x:v>
      </x:c>
      <x:c r="AZ114" s="16" t="n">
        <x:v>0</x:v>
      </x:c>
      <x:c r="BA114" s="11"/>
      <x:c r="BB114" s="11" t="str">
        <x:v>cod</x:v>
      </x:c>
      <x:c r="BC114" s="11" t="str">
        <x:v>Thuận tiện với cách nhận hàng gần đây.</x:v>
      </x:c>
      <x:c r="BD114" s="11" t="str">
        <x:v>guest</x:v>
      </x:c>
      <x:c r="BE114" s="16" t="n">
        <x:v>1</x:v>
      </x:c>
      <x:c r="BF114" s="16" t="n">
        <x:v>0</x:v>
      </x:c>
      <x:c r="BG114" s="16" t="n">
        <x:v>0</x:v>
      </x:c>
      <x:c r="BH114" s="16" t="n">
        <x:v>1</x:v>
      </x:c>
      <x:c r="BI114" s="16" t="n">
        <x:v>1</x:v>
      </x:c>
      <x:c r="BJ114" s="16" t="n">
        <x:v>0</x:v>
      </x:c>
      <x:c r="BK114" s="16" t="n">
        <x:v>1</x:v>
      </x:c>
      <x:c r="BL114" s="11" t="str">
        <x:v>neutral</x:v>
      </x:c>
      <x:c r="BM114" s="11" t="str">
        <x:v>Hiển thị tổng tiền gồm phí giao trước khi xác nhận.</x:v>
      </x:c>
    </x:row>
    <x:row r="115" ht="64" customHeight="1">
      <x:c r="A115" s="12" t="str">
        <x:v>SYN-PH-110</x:v>
      </x:c>
      <x:c r="B115" s="12" t="str">
        <x:v>SYN</x:v>
      </x:c>
      <x:c r="C115" s="12" t="str">
        <x:v>N6</x:v>
      </x:c>
      <x:c r="D115" s="15" t="n">
        <x:v>9.5</x:v>
      </x:c>
      <x:c r="E115" s="17" t="n">
        <x:v>1</x:v>
      </x:c>
      <x:c r="F115" s="17" t="n">
        <x:v>1</x:v>
      </x:c>
      <x:c r="G115" s="12" t="str">
        <x:v>valid</x:v>
      </x:c>
      <x:c r="H115" s="12"/>
      <x:c r="I115" s="12"/>
      <x:c r="J115" s="12" t="str">
        <x:v>yes</x:v>
      </x:c>
      <x:c r="K115" s="12" t="str">
        <x:v>age_18_24</x:v>
      </x:c>
      <x:c r="L115" s="12" t="str">
        <x:v>yes</x:v>
      </x:c>
      <x:c r="M115" s="12" t="str">
        <x:v>hanoi</x:v>
      </x:c>
      <x:c r="N115" s="12" t="str">
        <x:v>monthly</x:v>
      </x:c>
      <x:c r="O115" s="17" t="n">
        <x:v>0</x:v>
      </x:c>
      <x:c r="P115" s="17" t="n">
        <x:v>1</x:v>
      </x:c>
      <x:c r="Q115" s="17" t="n">
        <x:v>1</x:v>
      </x:c>
      <x:c r="R115" s="17" t="n">
        <x:v>0</x:v>
      </x:c>
      <x:c r="S115" s="17" t="n">
        <x:v>0</x:v>
      </x:c>
      <x:c r="T115" s="12"/>
      <x:c r="U115" s="12" t="str">
        <x:v>cannot_recall</x:v>
      </x:c>
      <x:c r="V115" s="17" t="n">
        <x:v>1</x:v>
      </x:c>
      <x:c r="W115" s="17" t="n">
        <x:v>1</x:v>
      </x:c>
      <x:c r="X115" s="17" t="n">
        <x:v>1</x:v>
      </x:c>
      <x:c r="Y115" s="17" t="n">
        <x:v>0</x:v>
      </x:c>
      <x:c r="Z115" s="17" t="n">
        <x:v>0</x:v>
      </x:c>
      <x:c r="AA115" s="17" t="n">
        <x:v>1</x:v>
      </x:c>
      <x:c r="AB115" s="17" t="n">
        <x:v>0</x:v>
      </x:c>
      <x:c r="AC115" s="17" t="n">
        <x:v>0</x:v>
      </x:c>
      <x:c r="AD115" s="17" t="n">
        <x:v>0</x:v>
      </x:c>
      <x:c r="AE115" s="12"/>
      <x:c r="AF115" s="12" t="str">
        <x:v>size_uncertain</x:v>
      </x:c>
      <x:c r="AG115" s="12" t="str">
        <x:v>Không có số đo vai và chiều dài để chọn size.</x:v>
      </x:c>
      <x:c r="AH115" s="12" t="str">
        <x:v>no</x:v>
      </x:c>
      <x:c r="AI115" s="17"/>
      <x:c r="AJ115" s="17"/>
      <x:c r="AK115" s="17"/>
      <x:c r="AL115" s="17"/>
      <x:c r="AM115" s="17"/>
      <x:c r="AN115" s="17"/>
      <x:c r="AO115" s="17"/>
      <x:c r="AP115" s="17"/>
      <x:c r="AQ115" s="12"/>
      <x:c r="AR115" s="17" t="n">
        <x:v>0</x:v>
      </x:c>
      <x:c r="AS115" s="17" t="n">
        <x:v>0</x:v>
      </x:c>
      <x:c r="AT115" s="17" t="n">
        <x:v>1</x:v>
      </x:c>
      <x:c r="AU115" s="17" t="n">
        <x:v>0</x:v>
      </x:c>
      <x:c r="AV115" s="17" t="n">
        <x:v>1</x:v>
      </x:c>
      <x:c r="AW115" s="17" t="n">
        <x:v>1</x:v>
      </x:c>
      <x:c r="AX115" s="17" t="n">
        <x:v>0</x:v>
      </x:c>
      <x:c r="AY115" s="17" t="n">
        <x:v>0</x:v>
      </x:c>
      <x:c r="AZ115" s="17" t="n">
        <x:v>0</x:v>
      </x:c>
      <x:c r="BA115" s="12"/>
      <x:c r="BB115" s="12" t="str">
        <x:v>prepaid</x:v>
      </x:c>
      <x:c r="BC115" s="12" t="str">
        <x:v>Đã quen thao tác thanh toán trước.</x:v>
      </x:c>
      <x:c r="BD115" s="12" t="str">
        <x:v>guest</x:v>
      </x:c>
      <x:c r="BE115" s="17" t="n">
        <x:v>1</x:v>
      </x:c>
      <x:c r="BF115" s="17" t="n">
        <x:v>0</x:v>
      </x:c>
      <x:c r="BG115" s="17" t="n">
        <x:v>1</x:v>
      </x:c>
      <x:c r="BH115" s="17" t="n">
        <x:v>0</x:v>
      </x:c>
      <x:c r="BI115" s="17" t="n">
        <x:v>1</x:v>
      </x:c>
      <x:c r="BJ115" s="17" t="n">
        <x:v>1</x:v>
      </x:c>
      <x:c r="BK115" s="17" t="n">
        <x:v>1</x:v>
      </x:c>
      <x:c r="BL115" s="12" t="str">
        <x:v>less_willing</x:v>
      </x:c>
      <x:c r="BM115" s="12" t="str">
        <x:v>Ghi rõ phom áo và số đo người mẫu.</x:v>
      </x:c>
    </x:row>
    <x:row r="116" ht="64" customHeight="1">
      <x:c r="A116" s="11" t="str">
        <x:v>SYN-PH-111</x:v>
      </x:c>
      <x:c r="B116" s="11" t="str">
        <x:v>SYN</x:v>
      </x:c>
      <x:c r="C116" s="11" t="str">
        <x:v>N6</x:v>
      </x:c>
      <x:c r="D116" s="14" t="n">
        <x:v>10.7</x:v>
      </x:c>
      <x:c r="E116" s="16" t="n">
        <x:v>1</x:v>
      </x:c>
      <x:c r="F116" s="16" t="n">
        <x:v>1</x:v>
      </x:c>
      <x:c r="G116" s="11" t="str">
        <x:v>valid</x:v>
      </x:c>
      <x:c r="H116" s="11"/>
      <x:c r="I116" s="11"/>
      <x:c r="J116" s="11" t="str">
        <x:v>yes</x:v>
      </x:c>
      <x:c r="K116" s="11" t="str">
        <x:v>age_18_24</x:v>
      </x:c>
      <x:c r="L116" s="11" t="str">
        <x:v>yes</x:v>
      </x:c>
      <x:c r="M116" s="11" t="str">
        <x:v>hanoi</x:v>
      </x:c>
      <x:c r="N116" s="11" t="str">
        <x:v>monthly_2_3</x:v>
      </x:c>
      <x:c r="O116" s="16" t="n">
        <x:v>0</x:v>
      </x:c>
      <x:c r="P116" s="16" t="n">
        <x:v>1</x:v>
      </x:c>
      <x:c r="Q116" s="16" t="n">
        <x:v>1</x:v>
      </x:c>
      <x:c r="R116" s="16" t="n">
        <x:v>0</x:v>
      </x:c>
      <x:c r="S116" s="16" t="n">
        <x:v>0</x:v>
      </x:c>
      <x:c r="T116" s="11"/>
      <x:c r="U116" s="11" t="str">
        <x:v>v300k_499k</x:v>
      </x:c>
      <x:c r="V116" s="16" t="n">
        <x:v>1</x:v>
      </x:c>
      <x:c r="W116" s="16" t="n">
        <x:v>1</x:v>
      </x:c>
      <x:c r="X116" s="16" t="n">
        <x:v>0</x:v>
      </x:c>
      <x:c r="Y116" s="16" t="n">
        <x:v>0</x:v>
      </x:c>
      <x:c r="Z116" s="16" t="n">
        <x:v>1</x:v>
      </x:c>
      <x:c r="AA116" s="16" t="n">
        <x:v>0</x:v>
      </x:c>
      <x:c r="AB116" s="16" t="n">
        <x:v>0</x:v>
      </x:c>
      <x:c r="AC116" s="16" t="n">
        <x:v>0</x:v>
      </x:c>
      <x:c r="AD116" s="16" t="n">
        <x:v>0</x:v>
      </x:c>
      <x:c r="AE116" s="11"/>
      <x:c r="AF116" s="11" t="str">
        <x:v>size_uncertain</x:v>
      </x:c>
      <x:c r="AG116" s="11" t="str">
        <x:v>Bảng size chỉ có S/M/L nên khó so với số đo áo đang mặc.</x:v>
      </x:c>
      <x:c r="AH116" s="11" t="str">
        <x:v>yes</x:v>
      </x:c>
      <x:c r="AI116" s="16" t="n">
        <x:v>0</x:v>
      </x:c>
      <x:c r="AJ116" s="16" t="n">
        <x:v>1</x:v>
      </x:c>
      <x:c r="AK116" s="16" t="n">
        <x:v>0</x:v>
      </x:c>
      <x:c r="AL116" s="16" t="n">
        <x:v>0</x:v>
      </x:c>
      <x:c r="AM116" s="16" t="n">
        <x:v>0</x:v>
      </x:c>
      <x:c r="AN116" s="16" t="n">
        <x:v>0</x:v>
      </x:c>
      <x:c r="AO116" s="16" t="n">
        <x:v>0</x:v>
      </x:c>
      <x:c r="AP116" s="16" t="n">
        <x:v>0</x:v>
      </x:c>
      <x:c r="AQ116" s="11"/>
      <x:c r="AR116" s="16" t="n">
        <x:v>1</x:v>
      </x:c>
      <x:c r="AS116" s="16" t="n">
        <x:v>1</x:v>
      </x:c>
      <x:c r="AT116" s="16" t="n">
        <x:v>0</x:v>
      </x:c>
      <x:c r="AU116" s="16" t="n">
        <x:v>0</x:v>
      </x:c>
      <x:c r="AV116" s="16" t="n">
        <x:v>0</x:v>
      </x:c>
      <x:c r="AW116" s="16" t="n">
        <x:v>0</x:v>
      </x:c>
      <x:c r="AX116" s="16" t="n">
        <x:v>1</x:v>
      </x:c>
      <x:c r="AY116" s="16" t="n">
        <x:v>0</x:v>
      </x:c>
      <x:c r="AZ116" s="16" t="n">
        <x:v>0</x:v>
      </x:c>
      <x:c r="BA116" s="11"/>
      <x:c r="BB116" s="11" t="str">
        <x:v>prepaid</x:v>
      </x:c>
      <x:c r="BC116" s="11" t="str">
        <x:v>Phương thức này phù hợp ưu đãi của lần mua.</x:v>
      </x:c>
      <x:c r="BD116" s="11" t="str">
        <x:v>register_now</x:v>
      </x:c>
      <x:c r="BE116" s="16" t="n">
        <x:v>1</x:v>
      </x:c>
      <x:c r="BF116" s="16" t="n">
        <x:v>1</x:v>
      </x:c>
      <x:c r="BG116" s="16" t="n">
        <x:v>1</x:v>
      </x:c>
      <x:c r="BH116" s="16" t="n">
        <x:v>1</x:v>
      </x:c>
      <x:c r="BI116" s="16" t="n">
        <x:v>1</x:v>
      </x:c>
      <x:c r="BJ116" s="16" t="n">
        <x:v>1</x:v>
      </x:c>
      <x:c r="BK116" s="16" t="n">
        <x:v>1</x:v>
      </x:c>
      <x:c r="BL116" s="11" t="str">
        <x:v>fairly_willing</x:v>
      </x:c>
      <x:c r="BM116" s="11" t="str">
        <x:v>Thêm bảng số đo chi tiết theo từng mẫu.</x:v>
      </x:c>
    </x:row>
    <x:row r="117" ht="64" customHeight="1">
      <x:c r="A117" s="12" t="str">
        <x:v>SYN-PH-112</x:v>
      </x:c>
      <x:c r="B117" s="12" t="str">
        <x:v>SYN</x:v>
      </x:c>
      <x:c r="C117" s="12" t="str">
        <x:v>N6</x:v>
      </x:c>
      <x:c r="D117" s="15" t="n">
        <x:v>12.2</x:v>
      </x:c>
      <x:c r="E117" s="17" t="n">
        <x:v>1</x:v>
      </x:c>
      <x:c r="F117" s="17" t="n">
        <x:v>1</x:v>
      </x:c>
      <x:c r="G117" s="12" t="str">
        <x:v>valid</x:v>
      </x:c>
      <x:c r="H117" s="12"/>
      <x:c r="I117" s="12"/>
      <x:c r="J117" s="12" t="str">
        <x:v>yes</x:v>
      </x:c>
      <x:c r="K117" s="12" t="str">
        <x:v>age_18_24</x:v>
      </x:c>
      <x:c r="L117" s="12" t="str">
        <x:v>yes</x:v>
      </x:c>
      <x:c r="M117" s="12" t="str">
        <x:v>hcm</x:v>
      </x:c>
      <x:c r="N117" s="12" t="str">
        <x:v>monthly</x:v>
      </x:c>
      <x:c r="O117" s="17" t="n">
        <x:v>1</x:v>
      </x:c>
      <x:c r="P117" s="17" t="n">
        <x:v>1</x:v>
      </x:c>
      <x:c r="Q117" s="17" t="n">
        <x:v>0</x:v>
      </x:c>
      <x:c r="R117" s="17" t="n">
        <x:v>1</x:v>
      </x:c>
      <x:c r="S117" s="17" t="n">
        <x:v>0</x:v>
      </x:c>
      <x:c r="T117" s="12"/>
      <x:c r="U117" s="12" t="str">
        <x:v>v500k_799k</x:v>
      </x:c>
      <x:c r="V117" s="17" t="n">
        <x:v>1</x:v>
      </x:c>
      <x:c r="W117" s="17" t="n">
        <x:v>1</x:v>
      </x:c>
      <x:c r="X117" s="17" t="n">
        <x:v>0</x:v>
      </x:c>
      <x:c r="Y117" s="17" t="n">
        <x:v>1</x:v>
      </x:c>
      <x:c r="Z117" s="17" t="n">
        <x:v>0</x:v>
      </x:c>
      <x:c r="AA117" s="17" t="n">
        <x:v>0</x:v>
      </x:c>
      <x:c r="AB117" s="17" t="n">
        <x:v>0</x:v>
      </x:c>
      <x:c r="AC117" s="17" t="n">
        <x:v>0</x:v>
      </x:c>
      <x:c r="AD117" s="17" t="n">
        <x:v>0</x:v>
      </x:c>
      <x:c r="AE117" s="12"/>
      <x:c r="AF117" s="12" t="str">
        <x:v>photo_mismatch</x:v>
      </x:c>
      <x:c r="AG117" s="12" t="str">
        <x:v>Ảnh chụp không thể hiện rõ độ dày vải.</x:v>
      </x:c>
      <x:c r="AH117" s="12" t="str">
        <x:v>yes</x:v>
      </x:c>
      <x:c r="AI117" s="17" t="n">
        <x:v>1</x:v>
      </x:c>
      <x:c r="AJ117" s="17" t="n">
        <x:v>0</x:v>
      </x:c>
      <x:c r="AK117" s="17" t="n">
        <x:v>0</x:v>
      </x:c>
      <x:c r="AL117" s="17" t="n">
        <x:v>1</x:v>
      </x:c>
      <x:c r="AM117" s="17" t="n">
        <x:v>0</x:v>
      </x:c>
      <x:c r="AN117" s="17" t="n">
        <x:v>1</x:v>
      </x:c>
      <x:c r="AO117" s="17" t="n">
        <x:v>0</x:v>
      </x:c>
      <x:c r="AP117" s="17" t="n">
        <x:v>0</x:v>
      </x:c>
      <x:c r="AQ117" s="12"/>
      <x:c r="AR117" s="17" t="n">
        <x:v>0</x:v>
      </x:c>
      <x:c r="AS117" s="17" t="n">
        <x:v>1</x:v>
      </x:c>
      <x:c r="AT117" s="17" t="n">
        <x:v>0</x:v>
      </x:c>
      <x:c r="AU117" s="17" t="n">
        <x:v>0</x:v>
      </x:c>
      <x:c r="AV117" s="17" t="n">
        <x:v>0</x:v>
      </x:c>
      <x:c r="AW117" s="17" t="n">
        <x:v>1</x:v>
      </x:c>
      <x:c r="AX117" s="17" t="n">
        <x:v>1</x:v>
      </x:c>
      <x:c r="AY117" s="17" t="n">
        <x:v>0</x:v>
      </x:c>
      <x:c r="AZ117" s="17" t="n">
        <x:v>0</x:v>
      </x:c>
      <x:c r="BA117" s="12"/>
      <x:c r="BB117" s="12" t="str">
        <x:v>cod</x:v>
      </x:c>
      <x:c r="BC117" s="12" t="str">
        <x:v>Muốn nhận hàng rồi mới thanh toán.</x:v>
      </x:c>
      <x:c r="BD117" s="12" t="str">
        <x:v>guest</x:v>
      </x:c>
      <x:c r="BE117" s="17" t="n">
        <x:v>1</x:v>
      </x:c>
      <x:c r="BF117" s="17" t="n">
        <x:v>1</x:v>
      </x:c>
      <x:c r="BG117" s="17" t="n">
        <x:v>0</x:v>
      </x:c>
      <x:c r="BH117" s="17" t="n">
        <x:v>0</x:v>
      </x:c>
      <x:c r="BI117" s="17" t="n">
        <x:v>1</x:v>
      </x:c>
      <x:c r="BJ117" s="17" t="n">
        <x:v>0</x:v>
      </x:c>
      <x:c r="BK117" s="17" t="n">
        <x:v>0</x:v>
      </x:c>
      <x:c r="BL117" s="12" t="str">
        <x:v>fairly_willing</x:v>
      </x:c>
      <x:c r="BM117" s="12" t="str">
        <x:v>Cho xem ảnh mặt trước, sau và chi tiết đường may.</x:v>
      </x:c>
    </x:row>
    <x:row r="118" ht="64" customHeight="1">
      <x:c r="A118" s="11" t="str">
        <x:v>SYN-PH-113</x:v>
      </x:c>
      <x:c r="B118" s="11" t="str">
        <x:v>SYN</x:v>
      </x:c>
      <x:c r="C118" s="11" t="str">
        <x:v>N6</x:v>
      </x:c>
      <x:c r="D118" s="14" t="n">
        <x:v>0.8</x:v>
      </x:c>
      <x:c r="E118" s="16" t="n">
        <x:v>0</x:v>
      </x:c>
      <x:c r="F118" s="16" t="n">
        <x:v>0</x:v>
      </x:c>
      <x:c r="G118" s="11" t="str">
        <x:v>excluded</x:v>
      </x:c>
      <x:c r="H118" s="11" t="str">
        <x:v>no_recent_purchase</x:v>
      </x:c>
      <x:c r="I118" s="11"/>
      <x:c r="J118" s="11" t="str">
        <x:v>yes</x:v>
      </x:c>
      <x:c r="K118" s="11" t="str">
        <x:v>age_18_24</x:v>
      </x:c>
      <x:c r="L118" s="11" t="str">
        <x:v>no</x:v>
      </x:c>
      <x:c r="M118" s="11"/>
      <x:c r="N118" s="11"/>
      <x:c r="O118" s="16"/>
      <x:c r="P118" s="16"/>
      <x:c r="Q118" s="16"/>
      <x:c r="R118" s="16"/>
      <x:c r="S118" s="16"/>
      <x:c r="T118" s="11"/>
      <x:c r="U118" s="11"/>
      <x:c r="V118" s="16"/>
      <x:c r="W118" s="16"/>
      <x:c r="X118" s="16"/>
      <x:c r="Y118" s="16"/>
      <x:c r="Z118" s="16"/>
      <x:c r="AA118" s="16"/>
      <x:c r="AB118" s="16"/>
      <x:c r="AC118" s="16"/>
      <x:c r="AD118" s="16"/>
      <x:c r="AE118" s="11"/>
      <x:c r="AF118" s="11"/>
      <x:c r="AG118" s="11"/>
      <x:c r="AH118" s="11"/>
      <x:c r="AI118" s="16"/>
      <x:c r="AJ118" s="16"/>
      <x:c r="AK118" s="16"/>
      <x:c r="AL118" s="16"/>
      <x:c r="AM118" s="16"/>
      <x:c r="AN118" s="16"/>
      <x:c r="AO118" s="16"/>
      <x:c r="AP118" s="16"/>
      <x:c r="AQ118" s="11"/>
      <x:c r="AR118" s="16"/>
      <x:c r="AS118" s="16"/>
      <x:c r="AT118" s="16"/>
      <x:c r="AU118" s="16"/>
      <x:c r="AV118" s="16"/>
      <x:c r="AW118" s="16"/>
      <x:c r="AX118" s="16"/>
      <x:c r="AY118" s="16"/>
      <x:c r="AZ118" s="16"/>
      <x:c r="BA118" s="11"/>
      <x:c r="BB118" s="11"/>
      <x:c r="BC118" s="11"/>
      <x:c r="BD118" s="11"/>
      <x:c r="BE118" s="16"/>
      <x:c r="BF118" s="16"/>
      <x:c r="BG118" s="16"/>
      <x:c r="BH118" s="16"/>
      <x:c r="BI118" s="16"/>
      <x:c r="BJ118" s="16"/>
      <x:c r="BK118" s="16"/>
      <x:c r="BL118" s="11"/>
      <x:c r="BM118" s="11"/>
    </x:row>
    <x:row r="119" ht="64" customHeight="1">
      <x:c r="A119" s="12" t="str">
        <x:v>SYN-PH-114</x:v>
      </x:c>
      <x:c r="B119" s="12" t="str">
        <x:v>SYN</x:v>
      </x:c>
      <x:c r="C119" s="12" t="str">
        <x:v>N6</x:v>
      </x:c>
      <x:c r="D119" s="15" t="n">
        <x:v>12.2</x:v>
      </x:c>
      <x:c r="E119" s="17" t="n">
        <x:v>1</x:v>
      </x:c>
      <x:c r="F119" s="17" t="n">
        <x:v>1</x:v>
      </x:c>
      <x:c r="G119" s="12" t="str">
        <x:v>valid</x:v>
      </x:c>
      <x:c r="H119" s="12"/>
      <x:c r="I119" s="12"/>
      <x:c r="J119" s="12" t="str">
        <x:v>yes</x:v>
      </x:c>
      <x:c r="K119" s="12" t="str">
        <x:v>age_25_34</x:v>
      </x:c>
      <x:c r="L119" s="12" t="str">
        <x:v>yes</x:v>
      </x:c>
      <x:c r="M119" s="12" t="str">
        <x:v>danang</x:v>
      </x:c>
      <x:c r="N119" s="12" t="str">
        <x:v>every_2_3_months</x:v>
      </x:c>
      <x:c r="O119" s="17" t="n">
        <x:v>0</x:v>
      </x:c>
      <x:c r="P119" s="17" t="n">
        <x:v>1</x:v>
      </x:c>
      <x:c r="Q119" s="17" t="n">
        <x:v>0</x:v>
      </x:c>
      <x:c r="R119" s="17" t="n">
        <x:v>0</x:v>
      </x:c>
      <x:c r="S119" s="17" t="n">
        <x:v>0</x:v>
      </x:c>
      <x:c r="T119" s="12"/>
      <x:c r="U119" s="12" t="str">
        <x:v>v500k_799k</x:v>
      </x:c>
      <x:c r="V119" s="17" t="n">
        <x:v>1</x:v>
      </x:c>
      <x:c r="W119" s="17" t="n">
        <x:v>1</x:v>
      </x:c>
      <x:c r="X119" s="17" t="n">
        <x:v>0</x:v>
      </x:c>
      <x:c r="Y119" s="17" t="n">
        <x:v>1</x:v>
      </x:c>
      <x:c r="Z119" s="17" t="n">
        <x:v>1</x:v>
      </x:c>
      <x:c r="AA119" s="17" t="n">
        <x:v>0</x:v>
      </x:c>
      <x:c r="AB119" s="17" t="n">
        <x:v>1</x:v>
      </x:c>
      <x:c r="AC119" s="17" t="n">
        <x:v>0</x:v>
      </x:c>
      <x:c r="AD119" s="17" t="n">
        <x:v>0</x:v>
      </x:c>
      <x:c r="AE119" s="12"/>
      <x:c r="AF119" s="12" t="str">
        <x:v>photo_mismatch</x:v>
      </x:c>
      <x:c r="AG119" s="12" t="str">
        <x:v>Màu trong ảnh và mô tả thiếu thông tin dưới ánh sáng thường.</x:v>
      </x:c>
      <x:c r="AH119" s="12" t="str">
        <x:v>no</x:v>
      </x:c>
      <x:c r="AI119" s="17"/>
      <x:c r="AJ119" s="17"/>
      <x:c r="AK119" s="17"/>
      <x:c r="AL119" s="17"/>
      <x:c r="AM119" s="17"/>
      <x:c r="AN119" s="17"/>
      <x:c r="AO119" s="17"/>
      <x:c r="AP119" s="17"/>
      <x:c r="AQ119" s="12"/>
      <x:c r="AR119" s="17" t="n">
        <x:v>1</x:v>
      </x:c>
      <x:c r="AS119" s="17" t="n">
        <x:v>1</x:v>
      </x:c>
      <x:c r="AT119" s="17" t="n">
        <x:v>0</x:v>
      </x:c>
      <x:c r="AU119" s="17" t="n">
        <x:v>0</x:v>
      </x:c>
      <x:c r="AV119" s="17" t="n">
        <x:v>1</x:v>
      </x:c>
      <x:c r="AW119" s="17" t="n">
        <x:v>0</x:v>
      </x:c>
      <x:c r="AX119" s="17" t="n">
        <x:v>0</x:v>
      </x:c>
      <x:c r="AY119" s="17" t="n">
        <x:v>0</x:v>
      </x:c>
      <x:c r="AZ119" s="17" t="n">
        <x:v>0</x:v>
      </x:c>
      <x:c r="BA119" s="12"/>
      <x:c r="BB119" s="12" t="str">
        <x:v>cod</x:v>
      </x:c>
      <x:c r="BC119" s="12" t="str">
        <x:v>Thuận tiện với cách nhận hàng gần đây.</x:v>
      </x:c>
      <x:c r="BD119" s="12" t="str">
        <x:v>guest</x:v>
      </x:c>
      <x:c r="BE119" s="17" t="n">
        <x:v>1</x:v>
      </x:c>
      <x:c r="BF119" s="17" t="n">
        <x:v>1</x:v>
      </x:c>
      <x:c r="BG119" s="17" t="n">
        <x:v>1</x:v>
      </x:c>
      <x:c r="BH119" s="17" t="n">
        <x:v>1</x:v>
      </x:c>
      <x:c r="BI119" s="17" t="n">
        <x:v>1</x:v>
      </x:c>
      <x:c r="BJ119" s="17" t="n">
        <x:v>0</x:v>
      </x:c>
      <x:c r="BK119" s="17" t="n">
        <x:v>0</x:v>
      </x:c>
      <x:c r="BL119" s="12" t="str">
        <x:v>neutral</x:v>
      </x:c>
      <x:c r="BM119" s="12" t="str">
        <x:v>Bổ sung ảnh cận chất liệu dưới ánh sáng thường.</x:v>
      </x:c>
    </x:row>
    <x:row r="120" ht="64" customHeight="1">
      <x:c r="A120" s="11" t="str">
        <x:v>SYN-PH-115</x:v>
      </x:c>
      <x:c r="B120" s="11" t="str">
        <x:v>SYN</x:v>
      </x:c>
      <x:c r="C120" s="11" t="str">
        <x:v>N6</x:v>
      </x:c>
      <x:c r="D120" s="14" t="n">
        <x:v>11.2</x:v>
      </x:c>
      <x:c r="E120" s="16" t="n">
        <x:v>1</x:v>
      </x:c>
      <x:c r="F120" s="16" t="n">
        <x:v>1</x:v>
      </x:c>
      <x:c r="G120" s="11" t="str">
        <x:v>valid</x:v>
      </x:c>
      <x:c r="H120" s="11"/>
      <x:c r="I120" s="11"/>
      <x:c r="J120" s="11" t="str">
        <x:v>yes</x:v>
      </x:c>
      <x:c r="K120" s="11" t="str">
        <x:v>age_18_24</x:v>
      </x:c>
      <x:c r="L120" s="11" t="str">
        <x:v>yes</x:v>
      </x:c>
      <x:c r="M120" s="11" t="str">
        <x:v>danang</x:v>
      </x:c>
      <x:c r="N120" s="11" t="str">
        <x:v>monthly</x:v>
      </x:c>
      <x:c r="O120" s="16" t="n">
        <x:v>1</x:v>
      </x:c>
      <x:c r="P120" s="16" t="n">
        <x:v>0</x:v>
      </x:c>
      <x:c r="Q120" s="16" t="n">
        <x:v>0</x:v>
      </x:c>
      <x:c r="R120" s="16" t="n">
        <x:v>0</x:v>
      </x:c>
      <x:c r="S120" s="16" t="n">
        <x:v>0</x:v>
      </x:c>
      <x:c r="T120" s="11"/>
      <x:c r="U120" s="11" t="str">
        <x:v>under_300k</x:v>
      </x:c>
      <x:c r="V120" s="16" t="n">
        <x:v>0</x:v>
      </x:c>
      <x:c r="W120" s="16" t="n">
        <x:v>0</x:v>
      </x:c>
      <x:c r="X120" s="16" t="n">
        <x:v>0</x:v>
      </x:c>
      <x:c r="Y120" s="16" t="n">
        <x:v>0</x:v>
      </x:c>
      <x:c r="Z120" s="16" t="n">
        <x:v>1</x:v>
      </x:c>
      <x:c r="AA120" s="16" t="n">
        <x:v>0</x:v>
      </x:c>
      <x:c r="AB120" s="16" t="n">
        <x:v>1</x:v>
      </x:c>
      <x:c r="AC120" s="16" t="n">
        <x:v>0</x:v>
      </x:c>
      <x:c r="AD120" s="16" t="n">
        <x:v>0</x:v>
      </x:c>
      <x:c r="AE120" s="11"/>
      <x:c r="AF120" s="11" t="str">
        <x:v>stock_unclear</x:v>
      </x:c>
      <x:c r="AG120" s="11" t="str">
        <x:v>Không biết lựa chọn size nào đang có hàng.</x:v>
      </x:c>
      <x:c r="AH120" s="11" t="str">
        <x:v>no</x:v>
      </x:c>
      <x:c r="AI120" s="16"/>
      <x:c r="AJ120" s="16"/>
      <x:c r="AK120" s="16"/>
      <x:c r="AL120" s="16"/>
      <x:c r="AM120" s="16"/>
      <x:c r="AN120" s="16"/>
      <x:c r="AO120" s="16"/>
      <x:c r="AP120" s="16"/>
      <x:c r="AQ120" s="11"/>
      <x:c r="AR120" s="16" t="n">
        <x:v>0</x:v>
      </x:c>
      <x:c r="AS120" s="16" t="n">
        <x:v>0</x:v>
      </x:c>
      <x:c r="AT120" s="16" t="n">
        <x:v>1</x:v>
      </x:c>
      <x:c r="AU120" s="16" t="n">
        <x:v>0</x:v>
      </x:c>
      <x:c r="AV120" s="16" t="n">
        <x:v>1</x:v>
      </x:c>
      <x:c r="AW120" s="16" t="n">
        <x:v>0</x:v>
      </x:c>
      <x:c r="AX120" s="16" t="n">
        <x:v>0</x:v>
      </x:c>
      <x:c r="AY120" s="16" t="n">
        <x:v>1</x:v>
      </x:c>
      <x:c r="AZ120" s="16" t="n">
        <x:v>0</x:v>
      </x:c>
      <x:c r="BA120" s="11"/>
      <x:c r="BB120" s="11" t="str">
        <x:v>cod</x:v>
      </x:c>
      <x:c r="BC120" s="11" t="str">
        <x:v>Thuận tiện với cách nhận hàng gần đây.</x:v>
      </x:c>
      <x:c r="BD120" s="11" t="str">
        <x:v>depends_on_benefits</x:v>
      </x:c>
      <x:c r="BE120" s="16" t="n">
        <x:v>1</x:v>
      </x:c>
      <x:c r="BF120" s="16" t="n">
        <x:v>0</x:v>
      </x:c>
      <x:c r="BG120" s="16" t="n">
        <x:v>0</x:v>
      </x:c>
      <x:c r="BH120" s="16" t="n">
        <x:v>0</x:v>
      </x:c>
      <x:c r="BI120" s="16" t="n">
        <x:v>1</x:v>
      </x:c>
      <x:c r="BJ120" s="16" t="n">
        <x:v>0</x:v>
      </x:c>
      <x:c r="BK120" s="16" t="n">
        <x:v>1</x:v>
      </x:c>
      <x:c r="BL120" s="11" t="str">
        <x:v>fairly_willing</x:v>
      </x:c>
      <x:c r="BM120" s="11" t="str">
        <x:v>Hiển thị tồn theo từng size và màu.</x:v>
      </x:c>
    </x:row>
    <x:row r="121" ht="64" customHeight="1">
      <x:c r="A121" s="12" t="str">
        <x:v>SYN-PH-116</x:v>
      </x:c>
      <x:c r="B121" s="12" t="str">
        <x:v>SYN</x:v>
      </x:c>
      <x:c r="C121" s="12" t="str">
        <x:v>N6</x:v>
      </x:c>
      <x:c r="D121" s="15" t="n">
        <x:v>8.1</x:v>
      </x:c>
      <x:c r="E121" s="17" t="n">
        <x:v>1</x:v>
      </x:c>
      <x:c r="F121" s="17" t="n">
        <x:v>1</x:v>
      </x:c>
      <x:c r="G121" s="12" t="str">
        <x:v>valid</x:v>
      </x:c>
      <x:c r="H121" s="12"/>
      <x:c r="I121" s="12"/>
      <x:c r="J121" s="12" t="str">
        <x:v>yes</x:v>
      </x:c>
      <x:c r="K121" s="12" t="str">
        <x:v>age_35_44</x:v>
      </x:c>
      <x:c r="L121" s="12" t="str">
        <x:v>yes</x:v>
      </x:c>
      <x:c r="M121" s="12" t="str">
        <x:v>hcm</x:v>
      </x:c>
      <x:c r="N121" s="12" t="str">
        <x:v>monthly</x:v>
      </x:c>
      <x:c r="O121" s="17" t="n">
        <x:v>0</x:v>
      </x:c>
      <x:c r="P121" s="17" t="n">
        <x:v>1</x:v>
      </x:c>
      <x:c r="Q121" s="17" t="n">
        <x:v>1</x:v>
      </x:c>
      <x:c r="R121" s="17" t="n">
        <x:v>0</x:v>
      </x:c>
      <x:c r="S121" s="17" t="n">
        <x:v>0</x:v>
      </x:c>
      <x:c r="T121" s="12"/>
      <x:c r="U121" s="12" t="str">
        <x:v>v300k_499k</x:v>
      </x:c>
      <x:c r="V121" s="17" t="n">
        <x:v>1</x:v>
      </x:c>
      <x:c r="W121" s="17" t="n">
        <x:v>1</x:v>
      </x:c>
      <x:c r="X121" s="17" t="n">
        <x:v>1</x:v>
      </x:c>
      <x:c r="Y121" s="17" t="n">
        <x:v>0</x:v>
      </x:c>
      <x:c r="Z121" s="17" t="n">
        <x:v>0</x:v>
      </x:c>
      <x:c r="AA121" s="17" t="n">
        <x:v>0</x:v>
      </x:c>
      <x:c r="AB121" s="17" t="n">
        <x:v>0</x:v>
      </x:c>
      <x:c r="AC121" s="17" t="n">
        <x:v>0</x:v>
      </x:c>
      <x:c r="AD121" s="17" t="n">
        <x:v>0</x:v>
      </x:c>
      <x:c r="AE121" s="12"/>
      <x:c r="AF121" s="12" t="str">
        <x:v>size_uncertain</x:v>
      </x:c>
      <x:c r="AG121" s="12" t="str">
        <x:v>Không có số đo vai và chiều dài để chọn size.</x:v>
      </x:c>
      <x:c r="AH121" s="12" t="str">
        <x:v>no</x:v>
      </x:c>
      <x:c r="AI121" s="17"/>
      <x:c r="AJ121" s="17"/>
      <x:c r="AK121" s="17"/>
      <x:c r="AL121" s="17"/>
      <x:c r="AM121" s="17"/>
      <x:c r="AN121" s="17"/>
      <x:c r="AO121" s="17"/>
      <x:c r="AP121" s="17"/>
      <x:c r="AQ121" s="12"/>
      <x:c r="AR121" s="17" t="n">
        <x:v>0</x:v>
      </x:c>
      <x:c r="AS121" s="17" t="n">
        <x:v>0</x:v>
      </x:c>
      <x:c r="AT121" s="17" t="n">
        <x:v>1</x:v>
      </x:c>
      <x:c r="AU121" s="17" t="n">
        <x:v>0</x:v>
      </x:c>
      <x:c r="AV121" s="17" t="n">
        <x:v>0</x:v>
      </x:c>
      <x:c r="AW121" s="17" t="n">
        <x:v>1</x:v>
      </x:c>
      <x:c r="AX121" s="17" t="n">
        <x:v>0</x:v>
      </x:c>
      <x:c r="AY121" s="17" t="n">
        <x:v>1</x:v>
      </x:c>
      <x:c r="AZ121" s="17" t="n">
        <x:v>0</x:v>
      </x:c>
      <x:c r="BA121" s="12"/>
      <x:c r="BB121" s="12" t="str">
        <x:v>cod</x:v>
      </x:c>
      <x:c r="BC121" s="12" t="str">
        <x:v>Thuận tiện với cách nhận hàng gần đây.</x:v>
      </x:c>
      <x:c r="BD121" s="12" t="str">
        <x:v>depends_on_benefits</x:v>
      </x:c>
      <x:c r="BE121" s="17" t="n">
        <x:v>1</x:v>
      </x:c>
      <x:c r="BF121" s="17" t="n">
        <x:v>0</x:v>
      </x:c>
      <x:c r="BG121" s="17" t="n">
        <x:v>1</x:v>
      </x:c>
      <x:c r="BH121" s="17" t="n">
        <x:v>1</x:v>
      </x:c>
      <x:c r="BI121" s="17" t="n">
        <x:v>1</x:v>
      </x:c>
      <x:c r="BJ121" s="17" t="n">
        <x:v>0</x:v>
      </x:c>
      <x:c r="BK121" s="17" t="n">
        <x:v>0</x:v>
      </x:c>
      <x:c r="BL121" s="12" t="str">
        <x:v>less_willing</x:v>
      </x:c>
      <x:c r="BM121" s="12" t="str">
        <x:v>So sánh size giữa các mẫu quần áo.</x:v>
      </x:c>
    </x:row>
    <x:row r="122" ht="64" customHeight="1">
      <x:c r="A122" s="11" t="str">
        <x:v>SYN-PH-117</x:v>
      </x:c>
      <x:c r="B122" s="11" t="str">
        <x:v>SYN</x:v>
      </x:c>
      <x:c r="C122" s="11" t="str">
        <x:v>N6</x:v>
      </x:c>
      <x:c r="D122" s="14" t="n">
        <x:v>8.7</x:v>
      </x:c>
      <x:c r="E122" s="16" t="n">
        <x:v>1</x:v>
      </x:c>
      <x:c r="F122" s="16" t="n">
        <x:v>1</x:v>
      </x:c>
      <x:c r="G122" s="11" t="str">
        <x:v>valid</x:v>
      </x:c>
      <x:c r="H122" s="11"/>
      <x:c r="I122" s="11"/>
      <x:c r="J122" s="11" t="str">
        <x:v>yes</x:v>
      </x:c>
      <x:c r="K122" s="11" t="str">
        <x:v>age_25_34</x:v>
      </x:c>
      <x:c r="L122" s="11" t="str">
        <x:v>yes</x:v>
      </x:c>
      <x:c r="M122" s="11" t="str">
        <x:v>hcm</x:v>
      </x:c>
      <x:c r="N122" s="11" t="str">
        <x:v>monthly</x:v>
      </x:c>
      <x:c r="O122" s="16" t="n">
        <x:v>1</x:v>
      </x:c>
      <x:c r="P122" s="16" t="n">
        <x:v>1</x:v>
      </x:c>
      <x:c r="Q122" s="16" t="n">
        <x:v>0</x:v>
      </x:c>
      <x:c r="R122" s="16" t="n">
        <x:v>0</x:v>
      </x:c>
      <x:c r="S122" s="16" t="n">
        <x:v>1</x:v>
      </x:c>
      <x:c r="T122" s="11" t="str">
        <x:v>Ứng dụng riêng của cửa hàng</x:v>
      </x:c>
      <x:c r="U122" s="11" t="str">
        <x:v>v500k_799k</x:v>
      </x:c>
      <x:c r="V122" s="16" t="n">
        <x:v>1</x:v>
      </x:c>
      <x:c r="W122" s="16" t="n">
        <x:v>0</x:v>
      </x:c>
      <x:c r="X122" s="16" t="n">
        <x:v>1</x:v>
      </x:c>
      <x:c r="Y122" s="16" t="n">
        <x:v>0</x:v>
      </x:c>
      <x:c r="Z122" s="16" t="n">
        <x:v>1</x:v>
      </x:c>
      <x:c r="AA122" s="16" t="n">
        <x:v>1</x:v>
      </x:c>
      <x:c r="AB122" s="16" t="n">
        <x:v>0</x:v>
      </x:c>
      <x:c r="AC122" s="16" t="n">
        <x:v>0</x:v>
      </x:c>
      <x:c r="AD122" s="16" t="n">
        <x:v>1</x:v>
      </x:c>
      <x:c r="AE122" s="11" t="str">
        <x:v>Khó tìm lại sản phẩm đã xem trên thiết bị khác.</x:v>
      </x:c>
      <x:c r="AF122" s="11" t="str">
        <x:v>size_uncertain</x:v>
      </x:c>
      <x:c r="AG122" s="11" t="str">
        <x:v>Bảng size chỉ có S/M/L nên khó so với số đo áo đang mặc.</x:v>
      </x:c>
      <x:c r="AH122" s="11" t="str">
        <x:v>yes</x:v>
      </x:c>
      <x:c r="AI122" s="16" t="n">
        <x:v>0</x:v>
      </x:c>
      <x:c r="AJ122" s="16" t="n">
        <x:v>1</x:v>
      </x:c>
      <x:c r="AK122" s="16" t="n">
        <x:v>0</x:v>
      </x:c>
      <x:c r="AL122" s="16" t="n">
        <x:v>0</x:v>
      </x:c>
      <x:c r="AM122" s="16" t="n">
        <x:v>0</x:v>
      </x:c>
      <x:c r="AN122" s="16" t="n">
        <x:v>0</x:v>
      </x:c>
      <x:c r="AO122" s="16" t="n">
        <x:v>0</x:v>
      </x:c>
      <x:c r="AP122" s="16" t="n">
        <x:v>0</x:v>
      </x:c>
      <x:c r="AQ122" s="11"/>
      <x:c r="AR122" s="16" t="n">
        <x:v>1</x:v>
      </x:c>
      <x:c r="AS122" s="16" t="n">
        <x:v>0</x:v>
      </x:c>
      <x:c r="AT122" s="16" t="n">
        <x:v>0</x:v>
      </x:c>
      <x:c r="AU122" s="16" t="n">
        <x:v>1</x:v>
      </x:c>
      <x:c r="AV122" s="16" t="n">
        <x:v>1</x:v>
      </x:c>
      <x:c r="AW122" s="16" t="n">
        <x:v>0</x:v>
      </x:c>
      <x:c r="AX122" s="16" t="n">
        <x:v>0</x:v>
      </x:c>
      <x:c r="AY122" s="16" t="n">
        <x:v>0</x:v>
      </x:c>
      <x:c r="AZ122" s="16" t="n">
        <x:v>0</x:v>
      </x:c>
      <x:c r="BA122" s="11"/>
      <x:c r="BB122" s="11" t="str">
        <x:v>cod</x:v>
      </x:c>
      <x:c r="BC122" s="11" t="str">
        <x:v>Muốn nhận hàng rồi mới thanh toán.</x:v>
      </x:c>
      <x:c r="BD122" s="11" t="str">
        <x:v>depends_on_benefits</x:v>
      </x:c>
      <x:c r="BE122" s="16" t="n">
        <x:v>0</x:v>
      </x:c>
      <x:c r="BF122" s="16" t="n">
        <x:v>1</x:v>
      </x:c>
      <x:c r="BG122" s="16" t="n">
        <x:v>0</x:v>
      </x:c>
      <x:c r="BH122" s="16" t="n">
        <x:v>1</x:v>
      </x:c>
      <x:c r="BI122" s="16" t="n">
        <x:v>1</x:v>
      </x:c>
      <x:c r="BJ122" s="16" t="n">
        <x:v>1</x:v>
      </x:c>
      <x:c r="BK122" s="16" t="n">
        <x:v>1</x:v>
      </x:c>
      <x:c r="BL122" s="11" t="str">
        <x:v>less_willing</x:v>
      </x:c>
      <x:c r="BM122" s="11" t="str">
        <x:v>So sánh size giữa các mẫu quần áo.</x:v>
      </x:c>
    </x:row>
    <x:row r="123" ht="64" customHeight="1">
      <x:c r="A123" s="12" t="str">
        <x:v>SYN-PH-118</x:v>
      </x:c>
      <x:c r="B123" s="12" t="str">
        <x:v>SYN</x:v>
      </x:c>
      <x:c r="C123" s="12" t="str">
        <x:v>N6</x:v>
      </x:c>
      <x:c r="D123" s="15" t="n">
        <x:v>11.8</x:v>
      </x:c>
      <x:c r="E123" s="17" t="n">
        <x:v>1</x:v>
      </x:c>
      <x:c r="F123" s="17" t="n">
        <x:v>1</x:v>
      </x:c>
      <x:c r="G123" s="12" t="str">
        <x:v>valid</x:v>
      </x:c>
      <x:c r="H123" s="12"/>
      <x:c r="I123" s="12"/>
      <x:c r="J123" s="12" t="str">
        <x:v>yes</x:v>
      </x:c>
      <x:c r="K123" s="12" t="str">
        <x:v>age_25_34</x:v>
      </x:c>
      <x:c r="L123" s="12" t="str">
        <x:v>yes</x:v>
      </x:c>
      <x:c r="M123" s="12" t="str">
        <x:v>danang</x:v>
      </x:c>
      <x:c r="N123" s="12" t="str">
        <x:v>monthly</x:v>
      </x:c>
      <x:c r="O123" s="17" t="n">
        <x:v>1</x:v>
      </x:c>
      <x:c r="P123" s="17" t="n">
        <x:v>1</x:v>
      </x:c>
      <x:c r="Q123" s="17" t="n">
        <x:v>0</x:v>
      </x:c>
      <x:c r="R123" s="17" t="n">
        <x:v>0</x:v>
      </x:c>
      <x:c r="S123" s="17" t="n">
        <x:v>0</x:v>
      </x:c>
      <x:c r="T123" s="12"/>
      <x:c r="U123" s="12" t="str">
        <x:v>v500k_799k</x:v>
      </x:c>
      <x:c r="V123" s="17" t="n">
        <x:v>1</x:v>
      </x:c>
      <x:c r="W123" s="17" t="n">
        <x:v>1</x:v>
      </x:c>
      <x:c r="X123" s="17" t="n">
        <x:v>0</x:v>
      </x:c>
      <x:c r="Y123" s="17" t="n">
        <x:v>0</x:v>
      </x:c>
      <x:c r="Z123" s="17" t="n">
        <x:v>1</x:v>
      </x:c>
      <x:c r="AA123" s="17" t="n">
        <x:v>0</x:v>
      </x:c>
      <x:c r="AB123" s="17" t="n">
        <x:v>1</x:v>
      </x:c>
      <x:c r="AC123" s="17" t="n">
        <x:v>0</x:v>
      </x:c>
      <x:c r="AD123" s="17" t="n">
        <x:v>0</x:v>
      </x:c>
      <x:c r="AE123" s="12"/>
      <x:c r="AF123" s="12" t="str">
        <x:v>size_uncertain</x:v>
      </x:c>
      <x:c r="AG123" s="12" t="str">
        <x:v>Hai mẫu cùng ghi size M nhưng phom mô tả khác nhau.</x:v>
      </x:c>
      <x:c r="AH123" s="12" t="str">
        <x:v>no</x:v>
      </x:c>
      <x:c r="AI123" s="17"/>
      <x:c r="AJ123" s="17"/>
      <x:c r="AK123" s="17"/>
      <x:c r="AL123" s="17"/>
      <x:c r="AM123" s="17"/>
      <x:c r="AN123" s="17"/>
      <x:c r="AO123" s="17"/>
      <x:c r="AP123" s="17"/>
      <x:c r="AQ123" s="12"/>
      <x:c r="AR123" s="17" t="n">
        <x:v>1</x:v>
      </x:c>
      <x:c r="AS123" s="17" t="n">
        <x:v>1</x:v>
      </x:c>
      <x:c r="AT123" s="17" t="n">
        <x:v>0</x:v>
      </x:c>
      <x:c r="AU123" s="17" t="n">
        <x:v>0</x:v>
      </x:c>
      <x:c r="AV123" s="17" t="n">
        <x:v>0</x:v>
      </x:c>
      <x:c r="AW123" s="17" t="n">
        <x:v>1</x:v>
      </x:c>
      <x:c r="AX123" s="17" t="n">
        <x:v>0</x:v>
      </x:c>
      <x:c r="AY123" s="17" t="n">
        <x:v>0</x:v>
      </x:c>
      <x:c r="AZ123" s="17" t="n">
        <x:v>0</x:v>
      </x:c>
      <x:c r="BA123" s="12"/>
      <x:c r="BB123" s="12" t="str">
        <x:v>cod</x:v>
      </x:c>
      <x:c r="BC123" s="12" t="str">
        <x:v>Muốn nhận hàng rồi mới thanh toán.</x:v>
      </x:c>
      <x:c r="BD123" s="12" t="str">
        <x:v>depends_on_benefits</x:v>
      </x:c>
      <x:c r="BE123" s="17" t="n">
        <x:v>1</x:v>
      </x:c>
      <x:c r="BF123" s="17" t="n">
        <x:v>1</x:v>
      </x:c>
      <x:c r="BG123" s="17" t="n">
        <x:v>1</x:v>
      </x:c>
      <x:c r="BH123" s="17" t="n">
        <x:v>0</x:v>
      </x:c>
      <x:c r="BI123" s="17" t="n">
        <x:v>1</x:v>
      </x:c>
      <x:c r="BJ123" s="17" t="n">
        <x:v>0</x:v>
      </x:c>
      <x:c r="BK123" s="17" t="n">
        <x:v>0</x:v>
      </x:c>
      <x:c r="BL123" s="12" t="str">
        <x:v>fairly_willing</x:v>
      </x:c>
      <x:c r="BM123" s="12" t="str">
        <x:v>So sánh size giữa các mẫu quần áo.</x:v>
      </x:c>
    </x:row>
    <x:row r="124" ht="64" customHeight="1">
      <x:c r="A124" s="11" t="str">
        <x:v>SYN-PH-119</x:v>
      </x:c>
      <x:c r="B124" s="11" t="str">
        <x:v>SYN</x:v>
      </x:c>
      <x:c r="C124" s="11" t="str">
        <x:v>N7</x:v>
      </x:c>
      <x:c r="D124" s="14" t="n">
        <x:v>9.7</x:v>
      </x:c>
      <x:c r="E124" s="16" t="n">
        <x:v>1</x:v>
      </x:c>
      <x:c r="F124" s="16" t="n">
        <x:v>1</x:v>
      </x:c>
      <x:c r="G124" s="11" t="str">
        <x:v>valid</x:v>
      </x:c>
      <x:c r="H124" s="11"/>
      <x:c r="I124" s="11"/>
      <x:c r="J124" s="11" t="str">
        <x:v>yes</x:v>
      </x:c>
      <x:c r="K124" s="11" t="str">
        <x:v>age_18_24</x:v>
      </x:c>
      <x:c r="L124" s="11" t="str">
        <x:v>yes</x:v>
      </x:c>
      <x:c r="M124" s="11" t="str">
        <x:v>hanoi</x:v>
      </x:c>
      <x:c r="N124" s="11" t="str">
        <x:v>every_2_3_months</x:v>
      </x:c>
      <x:c r="O124" s="16" t="n">
        <x:v>1</x:v>
      </x:c>
      <x:c r="P124" s="16" t="n">
        <x:v>0</x:v>
      </x:c>
      <x:c r="Q124" s="16" t="n">
        <x:v>0</x:v>
      </x:c>
      <x:c r="R124" s="16" t="n">
        <x:v>0</x:v>
      </x:c>
      <x:c r="S124" s="16" t="n">
        <x:v>0</x:v>
      </x:c>
      <x:c r="T124" s="11"/>
      <x:c r="U124" s="11" t="str">
        <x:v>under_300k</x:v>
      </x:c>
      <x:c r="V124" s="16" t="n">
        <x:v>0</x:v>
      </x:c>
      <x:c r="W124" s="16" t="n">
        <x:v>0</x:v>
      </x:c>
      <x:c r="X124" s="16" t="n">
        <x:v>0</x:v>
      </x:c>
      <x:c r="Y124" s="16" t="n">
        <x:v>0</x:v>
      </x:c>
      <x:c r="Z124" s="16" t="n">
        <x:v>1</x:v>
      </x:c>
      <x:c r="AA124" s="16" t="n">
        <x:v>0</x:v>
      </x:c>
      <x:c r="AB124" s="16" t="n">
        <x:v>0</x:v>
      </x:c>
      <x:c r="AC124" s="16" t="n">
        <x:v>0</x:v>
      </x:c>
      <x:c r="AD124" s="16" t="n">
        <x:v>0</x:v>
      </x:c>
      <x:c r="AE124" s="11"/>
      <x:c r="AF124" s="11" t="str">
        <x:v>stock_unclear</x:v>
      </x:c>
      <x:c r="AG124" s="11" t="str">
        <x:v>Không biết lựa chọn size nào đang có hàng.</x:v>
      </x:c>
      <x:c r="AH124" s="11" t="str">
        <x:v>yes</x:v>
      </x:c>
      <x:c r="AI124" s="16" t="n">
        <x:v>1</x:v>
      </x:c>
      <x:c r="AJ124" s="16" t="n">
        <x:v>1</x:v>
      </x:c>
      <x:c r="AK124" s="16" t="n">
        <x:v>1</x:v>
      </x:c>
      <x:c r="AL124" s="16" t="n">
        <x:v>1</x:v>
      </x:c>
      <x:c r="AM124" s="16" t="n">
        <x:v>1</x:v>
      </x:c>
      <x:c r="AN124" s="16" t="n">
        <x:v>0</x:v>
      </x:c>
      <x:c r="AO124" s="16" t="n">
        <x:v>0</x:v>
      </x:c>
      <x:c r="AP124" s="16" t="n">
        <x:v>0</x:v>
      </x:c>
      <x:c r="AQ124" s="11"/>
      <x:c r="AR124" s="16" t="n">
        <x:v>0</x:v>
      </x:c>
      <x:c r="AS124" s="16" t="n">
        <x:v>0</x:v>
      </x:c>
      <x:c r="AT124" s="16" t="n">
        <x:v>0</x:v>
      </x:c>
      <x:c r="AU124" s="16" t="n">
        <x:v>1</x:v>
      </x:c>
      <x:c r="AV124" s="16" t="n">
        <x:v>0</x:v>
      </x:c>
      <x:c r="AW124" s="16" t="n">
        <x:v>0</x:v>
      </x:c>
      <x:c r="AX124" s="16" t="n">
        <x:v>1</x:v>
      </x:c>
      <x:c r="AY124" s="16" t="n">
        <x:v>0</x:v>
      </x:c>
      <x:c r="AZ124" s="16" t="n">
        <x:v>0</x:v>
      </x:c>
      <x:c r="BA124" s="11"/>
      <x:c r="BB124" s="11" t="str">
        <x:v>cod</x:v>
      </x:c>
      <x:c r="BC124" s="11" t="str">
        <x:v>Thuận tiện với cách nhận hàng gần đây.</x:v>
      </x:c>
      <x:c r="BD124" s="11" t="str">
        <x:v>guest</x:v>
      </x:c>
      <x:c r="BE124" s="16" t="n">
        <x:v>1</x:v>
      </x:c>
      <x:c r="BF124" s="16" t="n">
        <x:v>1</x:v>
      </x:c>
      <x:c r="BG124" s="16" t="n">
        <x:v>0</x:v>
      </x:c>
      <x:c r="BH124" s="16" t="n">
        <x:v>1</x:v>
      </x:c>
      <x:c r="BI124" s="16" t="n">
        <x:v>1</x:v>
      </x:c>
      <x:c r="BJ124" s="16" t="n">
        <x:v>1</x:v>
      </x:c>
      <x:c r="BK124" s="16" t="n">
        <x:v>0</x:v>
      </x:c>
      <x:c r="BL124" s="11" t="str">
        <x:v>less_willing</x:v>
      </x:c>
      <x:c r="BM124" s="11" t="str">
        <x:v>Thông báo lựa chọn thay thế khi biến thể hết hàng.</x:v>
      </x:c>
    </x:row>
    <x:row r="125" ht="64" customHeight="1">
      <x:c r="A125" s="12" t="str">
        <x:v>SYN-PH-120</x:v>
      </x:c>
      <x:c r="B125" s="12" t="str">
        <x:v>SYN</x:v>
      </x:c>
      <x:c r="C125" s="12" t="str">
        <x:v>N7</x:v>
      </x:c>
      <x:c r="D125" s="15" t="n">
        <x:v>10.5</x:v>
      </x:c>
      <x:c r="E125" s="17" t="n">
        <x:v>1</x:v>
      </x:c>
      <x:c r="F125" s="17" t="n">
        <x:v>1</x:v>
      </x:c>
      <x:c r="G125" s="12" t="str">
        <x:v>valid</x:v>
      </x:c>
      <x:c r="H125" s="12"/>
      <x:c r="I125" s="12"/>
      <x:c r="J125" s="12" t="str">
        <x:v>yes</x:v>
      </x:c>
      <x:c r="K125" s="12" t="str">
        <x:v>age_25_34</x:v>
      </x:c>
      <x:c r="L125" s="12" t="str">
        <x:v>yes</x:v>
      </x:c>
      <x:c r="M125" s="12" t="str">
        <x:v>hcm</x:v>
      </x:c>
      <x:c r="N125" s="12" t="str">
        <x:v>monthly</x:v>
      </x:c>
      <x:c r="O125" s="17" t="n">
        <x:v>1</x:v>
      </x:c>
      <x:c r="P125" s="17" t="n">
        <x:v>1</x:v>
      </x:c>
      <x:c r="Q125" s="17" t="n">
        <x:v>1</x:v>
      </x:c>
      <x:c r="R125" s="17" t="n">
        <x:v>0</x:v>
      </x:c>
      <x:c r="S125" s="17" t="n">
        <x:v>0</x:v>
      </x:c>
      <x:c r="T125" s="12"/>
      <x:c r="U125" s="12" t="str">
        <x:v>under_300k</x:v>
      </x:c>
      <x:c r="V125" s="17" t="n">
        <x:v>1</x:v>
      </x:c>
      <x:c r="W125" s="17" t="n">
        <x:v>1</x:v>
      </x:c>
      <x:c r="X125" s="17" t="n">
        <x:v>0</x:v>
      </x:c>
      <x:c r="Y125" s="17" t="n">
        <x:v>0</x:v>
      </x:c>
      <x:c r="Z125" s="17" t="n">
        <x:v>1</x:v>
      </x:c>
      <x:c r="AA125" s="17" t="n">
        <x:v>1</x:v>
      </x:c>
      <x:c r="AB125" s="17" t="n">
        <x:v>0</x:v>
      </x:c>
      <x:c r="AC125" s="17" t="n">
        <x:v>0</x:v>
      </x:c>
      <x:c r="AD125" s="17" t="n">
        <x:v>0</x:v>
      </x:c>
      <x:c r="AE125" s="12"/>
      <x:c r="AF125" s="12" t="str">
        <x:v>tracking_unclear</x:v>
      </x:c>
      <x:c r="AG125" s="12" t="str">
        <x:v>Không rõ đơn đã đóng gói hay đã bàn giao vận chuyển.</x:v>
      </x:c>
      <x:c r="AH125" s="12" t="str">
        <x:v>yes</x:v>
      </x:c>
      <x:c r="AI125" s="17" t="n">
        <x:v>1</x:v>
      </x:c>
      <x:c r="AJ125" s="17" t="n">
        <x:v>0</x:v>
      </x:c>
      <x:c r="AK125" s="17" t="n">
        <x:v>1</x:v>
      </x:c>
      <x:c r="AL125" s="17" t="n">
        <x:v>0</x:v>
      </x:c>
      <x:c r="AM125" s="17" t="n">
        <x:v>0</x:v>
      </x:c>
      <x:c r="AN125" s="17" t="n">
        <x:v>0</x:v>
      </x:c>
      <x:c r="AO125" s="17" t="n">
        <x:v>0</x:v>
      </x:c>
      <x:c r="AP125" s="17" t="n">
        <x:v>0</x:v>
      </x:c>
      <x:c r="AQ125" s="12"/>
      <x:c r="AR125" s="17" t="n">
        <x:v>1</x:v>
      </x:c>
      <x:c r="AS125" s="17" t="n">
        <x:v>0</x:v>
      </x:c>
      <x:c r="AT125" s="17" t="n">
        <x:v>0</x:v>
      </x:c>
      <x:c r="AU125" s="17" t="n">
        <x:v>0</x:v>
      </x:c>
      <x:c r="AV125" s="17" t="n">
        <x:v>0</x:v>
      </x:c>
      <x:c r="AW125" s="17" t="n">
        <x:v>0</x:v>
      </x:c>
      <x:c r="AX125" s="17" t="n">
        <x:v>1</x:v>
      </x:c>
      <x:c r="AY125" s="17" t="n">
        <x:v>1</x:v>
      </x:c>
      <x:c r="AZ125" s="17" t="n">
        <x:v>0</x:v>
      </x:c>
      <x:c r="BA125" s="12"/>
      <x:c r="BB125" s="12" t="str">
        <x:v>cannot_recall</x:v>
      </x:c>
      <x:c r="BC125" s="12" t="str">
        <x:v>Không nhớ rõ cách thanh toán của lần gần nhất.</x:v>
      </x:c>
      <x:c r="BD125" s="12" t="str">
        <x:v>register_now</x:v>
      </x:c>
      <x:c r="BE125" s="17" t="n">
        <x:v>1</x:v>
      </x:c>
      <x:c r="BF125" s="17" t="n">
        <x:v>0</x:v>
      </x:c>
      <x:c r="BG125" s="17" t="n">
        <x:v>0</x:v>
      </x:c>
      <x:c r="BH125" s="17" t="n">
        <x:v>1</x:v>
      </x:c>
      <x:c r="BI125" s="17" t="n">
        <x:v>1</x:v>
      </x:c>
      <x:c r="BJ125" s="17" t="n">
        <x:v>0</x:v>
      </x:c>
      <x:c r="BK125" s="17" t="n">
        <x:v>1</x:v>
      </x:c>
      <x:c r="BL125" s="12" t="str">
        <x:v>unwilling</x:v>
      </x:c>
      <x:c r="BM125" s="12" t="str">
        <x:v>Nêu rõ bước xử lý khi giao không thành công.</x:v>
      </x:c>
    </x:row>
    <x:row r="126" ht="64" customHeight="1">
      <x:c r="A126" s="11" t="str">
        <x:v>SYN-PH-121</x:v>
      </x:c>
      <x:c r="B126" s="11" t="str">
        <x:v>SYN</x:v>
      </x:c>
      <x:c r="C126" s="11" t="str">
        <x:v>N7</x:v>
      </x:c>
      <x:c r="D126" s="14" t="n">
        <x:v>6.6</x:v>
      </x:c>
      <x:c r="E126" s="16" t="n">
        <x:v>1</x:v>
      </x:c>
      <x:c r="F126" s="16" t="n">
        <x:v>1</x:v>
      </x:c>
      <x:c r="G126" s="11" t="str">
        <x:v>valid</x:v>
      </x:c>
      <x:c r="H126" s="11"/>
      <x:c r="I126" s="11"/>
      <x:c r="J126" s="11" t="str">
        <x:v>yes</x:v>
      </x:c>
      <x:c r="K126" s="11" t="str">
        <x:v>age_35_44</x:v>
      </x:c>
      <x:c r="L126" s="11" t="str">
        <x:v>yes</x:v>
      </x:c>
      <x:c r="M126" s="11" t="str">
        <x:v>nonurban</x:v>
      </x:c>
      <x:c r="N126" s="11" t="str">
        <x:v>every_2_3_months</x:v>
      </x:c>
      <x:c r="O126" s="16" t="n">
        <x:v>1</x:v>
      </x:c>
      <x:c r="P126" s="16" t="n">
        <x:v>1</x:v>
      </x:c>
      <x:c r="Q126" s="16" t="n">
        <x:v>0</x:v>
      </x:c>
      <x:c r="R126" s="16" t="n">
        <x:v>0</x:v>
      </x:c>
      <x:c r="S126" s="16" t="n">
        <x:v>0</x:v>
      </x:c>
      <x:c r="T126" s="11"/>
      <x:c r="U126" s="11" t="str">
        <x:v>v300k_499k</x:v>
      </x:c>
      <x:c r="V126" s="16" t="n">
        <x:v>1</x:v>
      </x:c>
      <x:c r="W126" s="16" t="n">
        <x:v>1</x:v>
      </x:c>
      <x:c r="X126" s="16" t="n">
        <x:v>1</x:v>
      </x:c>
      <x:c r="Y126" s="16" t="n">
        <x:v>1</x:v>
      </x:c>
      <x:c r="Z126" s="16" t="n">
        <x:v>1</x:v>
      </x:c>
      <x:c r="AA126" s="16" t="n">
        <x:v>0</x:v>
      </x:c>
      <x:c r="AB126" s="16" t="n">
        <x:v>1</x:v>
      </x:c>
      <x:c r="AC126" s="16" t="n">
        <x:v>0</x:v>
      </x:c>
      <x:c r="AD126" s="16" t="n">
        <x:v>0</x:v>
      </x:c>
      <x:c r="AE126" s="11"/>
      <x:c r="AF126" s="11" t="str">
        <x:v>stock_unclear</x:v>
      </x:c>
      <x:c r="AG126" s="11" t="str">
        <x:v>Không biết lựa chọn size nào đang có hàng.</x:v>
      </x:c>
      <x:c r="AH126" s="11" t="str">
        <x:v>cannot_recall</x:v>
      </x:c>
      <x:c r="AI126" s="16"/>
      <x:c r="AJ126" s="16"/>
      <x:c r="AK126" s="16"/>
      <x:c r="AL126" s="16"/>
      <x:c r="AM126" s="16"/>
      <x:c r="AN126" s="16"/>
      <x:c r="AO126" s="16"/>
      <x:c r="AP126" s="16"/>
      <x:c r="AQ126" s="11"/>
      <x:c r="AR126" s="16" t="n">
        <x:v>0</x:v>
      </x:c>
      <x:c r="AS126" s="16" t="n">
        <x:v>0</x:v>
      </x:c>
      <x:c r="AT126" s="16" t="n">
        <x:v>0</x:v>
      </x:c>
      <x:c r="AU126" s="16" t="n">
        <x:v>1</x:v>
      </x:c>
      <x:c r="AV126" s="16" t="n">
        <x:v>1</x:v>
      </x:c>
      <x:c r="AW126" s="16" t="n">
        <x:v>0</x:v>
      </x:c>
      <x:c r="AX126" s="16" t="n">
        <x:v>0</x:v>
      </x:c>
      <x:c r="AY126" s="16" t="n">
        <x:v>0</x:v>
      </x:c>
      <x:c r="AZ126" s="16" t="n">
        <x:v>0</x:v>
      </x:c>
      <x:c r="BA126" s="11"/>
      <x:c r="BB126" s="11" t="str">
        <x:v>cannot_recall</x:v>
      </x:c>
      <x:c r="BC126" s="11" t="str">
        <x:v>Không nhớ rõ cách thanh toán của lần gần nhất.</x:v>
      </x:c>
      <x:c r="BD126" s="11" t="str">
        <x:v>depends_on_benefits</x:v>
      </x:c>
      <x:c r="BE126" s="16" t="n">
        <x:v>1</x:v>
      </x:c>
      <x:c r="BF126" s="16" t="n">
        <x:v>1</x:v>
      </x:c>
      <x:c r="BG126" s="16" t="n">
        <x:v>0</x:v>
      </x:c>
      <x:c r="BH126" s="16" t="n">
        <x:v>1</x:v>
      </x:c>
      <x:c r="BI126" s="16" t="n">
        <x:v>1</x:v>
      </x:c>
      <x:c r="BJ126" s="16" t="n">
        <x:v>1</x:v>
      </x:c>
      <x:c r="BK126" s="16" t="n">
        <x:v>0</x:v>
      </x:c>
      <x:c r="BL126" s="11" t="str">
        <x:v>neutral</x:v>
      </x:c>
      <x:c r="BM126" s="11" t="str">
        <x:v>Hiển thị tồn theo từng size và màu.</x:v>
      </x:c>
    </x:row>
    <x:row r="127" ht="64" customHeight="1">
      <x:c r="A127" s="12" t="str">
        <x:v>SYN-PH-122</x:v>
      </x:c>
      <x:c r="B127" s="12" t="str">
        <x:v>SYN</x:v>
      </x:c>
      <x:c r="C127" s="12" t="str">
        <x:v>N7</x:v>
      </x:c>
      <x:c r="D127" s="15" t="n">
        <x:v>8.6</x:v>
      </x:c>
      <x:c r="E127" s="17" t="n">
        <x:v>1</x:v>
      </x:c>
      <x:c r="F127" s="17" t="n">
        <x:v>1</x:v>
      </x:c>
      <x:c r="G127" s="12" t="str">
        <x:v>valid</x:v>
      </x:c>
      <x:c r="H127" s="12"/>
      <x:c r="I127" s="12"/>
      <x:c r="J127" s="12" t="str">
        <x:v>yes</x:v>
      </x:c>
      <x:c r="K127" s="12" t="str">
        <x:v>age_25_34</x:v>
      </x:c>
      <x:c r="L127" s="12" t="str">
        <x:v>yes</x:v>
      </x:c>
      <x:c r="M127" s="12" t="str">
        <x:v>hanoi</x:v>
      </x:c>
      <x:c r="N127" s="12" t="str">
        <x:v>monthly</x:v>
      </x:c>
      <x:c r="O127" s="17" t="n">
        <x:v>1</x:v>
      </x:c>
      <x:c r="P127" s="17" t="n">
        <x:v>1</x:v>
      </x:c>
      <x:c r="Q127" s="17" t="n">
        <x:v>0</x:v>
      </x:c>
      <x:c r="R127" s="17" t="n">
        <x:v>0</x:v>
      </x:c>
      <x:c r="S127" s="17" t="n">
        <x:v>0</x:v>
      </x:c>
      <x:c r="T127" s="12"/>
      <x:c r="U127" s="12" t="str">
        <x:v>v800k_1199k</x:v>
      </x:c>
      <x:c r="V127" s="17" t="n">
        <x:v>1</x:v>
      </x:c>
      <x:c r="W127" s="17" t="n">
        <x:v>1</x:v>
      </x:c>
      <x:c r="X127" s="17" t="n">
        <x:v>0</x:v>
      </x:c>
      <x:c r="Y127" s="17" t="n">
        <x:v>0</x:v>
      </x:c>
      <x:c r="Z127" s="17" t="n">
        <x:v>1</x:v>
      </x:c>
      <x:c r="AA127" s="17" t="n">
        <x:v>0</x:v>
      </x:c>
      <x:c r="AB127" s="17" t="n">
        <x:v>1</x:v>
      </x:c>
      <x:c r="AC127" s="17" t="n">
        <x:v>0</x:v>
      </x:c>
      <x:c r="AD127" s="17" t="n">
        <x:v>0</x:v>
      </x:c>
      <x:c r="AE127" s="12"/>
      <x:c r="AF127" s="12" t="str">
        <x:v>stock_unclear</x:v>
      </x:c>
      <x:c r="AG127" s="12" t="str">
        <x:v>Không biết lựa chọn size nào đang có hàng.</x:v>
      </x:c>
      <x:c r="AH127" s="12" t="str">
        <x:v>cannot_recall</x:v>
      </x:c>
      <x:c r="AI127" s="17"/>
      <x:c r="AJ127" s="17"/>
      <x:c r="AK127" s="17"/>
      <x:c r="AL127" s="17"/>
      <x:c r="AM127" s="17"/>
      <x:c r="AN127" s="17"/>
      <x:c r="AO127" s="17"/>
      <x:c r="AP127" s="17"/>
      <x:c r="AQ127" s="12"/>
      <x:c r="AR127" s="17" t="n">
        <x:v>1</x:v>
      </x:c>
      <x:c r="AS127" s="17" t="n">
        <x:v>1</x:v>
      </x:c>
      <x:c r="AT127" s="17" t="n">
        <x:v>0</x:v>
      </x:c>
      <x:c r="AU127" s="17" t="n">
        <x:v>1</x:v>
      </x:c>
      <x:c r="AV127" s="17" t="n">
        <x:v>0</x:v>
      </x:c>
      <x:c r="AW127" s="17" t="n">
        <x:v>0</x:v>
      </x:c>
      <x:c r="AX127" s="17" t="n">
        <x:v>0</x:v>
      </x:c>
      <x:c r="AY127" s="17" t="n">
        <x:v>0</x:v>
      </x:c>
      <x:c r="AZ127" s="17" t="n">
        <x:v>0</x:v>
      </x:c>
      <x:c r="BA127" s="12"/>
      <x:c r="BB127" s="12" t="str">
        <x:v>cod</x:v>
      </x:c>
      <x:c r="BC127" s="12" t="str">
        <x:v>Quen thanh toán lúc giao hàng.</x:v>
      </x:c>
      <x:c r="BD127" s="12" t="str">
        <x:v>depends_on_benefits</x:v>
      </x:c>
      <x:c r="BE127" s="17" t="n">
        <x:v>1</x:v>
      </x:c>
      <x:c r="BF127" s="17" t="n">
        <x:v>1</x:v>
      </x:c>
      <x:c r="BG127" s="17" t="n">
        <x:v>0</x:v>
      </x:c>
      <x:c r="BH127" s="17" t="n">
        <x:v>1</x:v>
      </x:c>
      <x:c r="BI127" s="17" t="n">
        <x:v>1</x:v>
      </x:c>
      <x:c r="BJ127" s="17" t="n">
        <x:v>0</x:v>
      </x:c>
      <x:c r="BK127" s="17" t="n">
        <x:v>1</x:v>
      </x:c>
      <x:c r="BL127" s="12" t="str">
        <x:v>less_willing</x:v>
      </x:c>
      <x:c r="BM127" s="12" t="str">
        <x:v>Hiển thị tồn theo từng size và màu.</x:v>
      </x:c>
    </x:row>
    <x:row r="128" ht="64" customHeight="1">
      <x:c r="A128" s="11" t="str">
        <x:v>SYN-PH-123</x:v>
      </x:c>
      <x:c r="B128" s="11" t="str">
        <x:v>SYN</x:v>
      </x:c>
      <x:c r="C128" s="11" t="str">
        <x:v>N7</x:v>
      </x:c>
      <x:c r="D128" s="14" t="n">
        <x:v>7</x:v>
      </x:c>
      <x:c r="E128" s="16" t="n">
        <x:v>1</x:v>
      </x:c>
      <x:c r="F128" s="16" t="n">
        <x:v>1</x:v>
      </x:c>
      <x:c r="G128" s="11" t="str">
        <x:v>valid</x:v>
      </x:c>
      <x:c r="H128" s="11"/>
      <x:c r="I128" s="11"/>
      <x:c r="J128" s="11" t="str">
        <x:v>yes</x:v>
      </x:c>
      <x:c r="K128" s="11" t="str">
        <x:v>age_35_44</x:v>
      </x:c>
      <x:c r="L128" s="11" t="str">
        <x:v>yes</x:v>
      </x:c>
      <x:c r="M128" s="11" t="str">
        <x:v>hcm</x:v>
      </x:c>
      <x:c r="N128" s="11" t="str">
        <x:v>monthly</x:v>
      </x:c>
      <x:c r="O128" s="16" t="n">
        <x:v>1</x:v>
      </x:c>
      <x:c r="P128" s="16" t="n">
        <x:v>1</x:v>
      </x:c>
      <x:c r="Q128" s="16" t="n">
        <x:v>0</x:v>
      </x:c>
      <x:c r="R128" s="16" t="n">
        <x:v>1</x:v>
      </x:c>
      <x:c r="S128" s="16" t="n">
        <x:v>0</x:v>
      </x:c>
      <x:c r="T128" s="11"/>
      <x:c r="U128" s="11" t="str">
        <x:v>v300k_499k</x:v>
      </x:c>
      <x:c r="V128" s="16" t="n">
        <x:v>0</x:v>
      </x:c>
      <x:c r="W128" s="16" t="n">
        <x:v>0</x:v>
      </x:c>
      <x:c r="X128" s="16" t="n">
        <x:v>0</x:v>
      </x:c>
      <x:c r="Y128" s="16" t="n">
        <x:v>0</x:v>
      </x:c>
      <x:c r="Z128" s="16" t="n">
        <x:v>0</x:v>
      </x:c>
      <x:c r="AA128" s="16" t="n">
        <x:v>0</x:v>
      </x:c>
      <x:c r="AB128" s="16" t="n">
        <x:v>0</x:v>
      </x:c>
      <x:c r="AC128" s="16" t="n">
        <x:v>1</x:v>
      </x:c>
      <x:c r="AD128" s="16" t="n">
        <x:v>0</x:v>
      </x:c>
      <x:c r="AE128" s="11"/>
      <x:c r="AF128" s="11"/>
      <x:c r="AG128" s="11"/>
      <x:c r="AH128" s="11" t="str">
        <x:v>no</x:v>
      </x:c>
      <x:c r="AI128" s="16"/>
      <x:c r="AJ128" s="16"/>
      <x:c r="AK128" s="16"/>
      <x:c r="AL128" s="16"/>
      <x:c r="AM128" s="16"/>
      <x:c r="AN128" s="16"/>
      <x:c r="AO128" s="16"/>
      <x:c r="AP128" s="16"/>
      <x:c r="AQ128" s="11"/>
      <x:c r="AR128" s="16" t="n">
        <x:v>0</x:v>
      </x:c>
      <x:c r="AS128" s="16" t="n">
        <x:v>0</x:v>
      </x:c>
      <x:c r="AT128" s="16" t="n">
        <x:v>0</x:v>
      </x:c>
      <x:c r="AU128" s="16" t="n">
        <x:v>1</x:v>
      </x:c>
      <x:c r="AV128" s="16" t="n">
        <x:v>1</x:v>
      </x:c>
      <x:c r="AW128" s="16" t="n">
        <x:v>0</x:v>
      </x:c>
      <x:c r="AX128" s="16" t="n">
        <x:v>1</x:v>
      </x:c>
      <x:c r="AY128" s="16" t="n">
        <x:v>0</x:v>
      </x:c>
      <x:c r="AZ128" s="16" t="n">
        <x:v>0</x:v>
      </x:c>
      <x:c r="BA128" s="11"/>
      <x:c r="BB128" s="11" t="str">
        <x:v>cod</x:v>
      </x:c>
      <x:c r="BC128" s="11" t="str">
        <x:v>Thuận tiện với cách nhận hàng gần đây.</x:v>
      </x:c>
      <x:c r="BD128" s="11" t="str">
        <x:v>depends_on_benefits</x:v>
      </x:c>
      <x:c r="BE128" s="16" t="n">
        <x:v>1</x:v>
      </x:c>
      <x:c r="BF128" s="16" t="n">
        <x:v>1</x:v>
      </x:c>
      <x:c r="BG128" s="16" t="n">
        <x:v>1</x:v>
      </x:c>
      <x:c r="BH128" s="16" t="n">
        <x:v>1</x:v>
      </x:c>
      <x:c r="BI128" s="16" t="n">
        <x:v>0</x:v>
      </x:c>
      <x:c r="BJ128" s="16" t="n">
        <x:v>1</x:v>
      </x:c>
      <x:c r="BK128" s="16" t="n">
        <x:v>1</x:v>
      </x:c>
      <x:c r="BL128" s="11" t="str">
        <x:v>fairly_willing</x:v>
      </x:c>
      <x:c r="BM128" s="11" t="str">
        <x:v>Giữ giao diện gọn và thao tác mua nhanh.</x:v>
      </x:c>
    </x:row>
    <x:row r="129" ht="64" customHeight="1">
      <x:c r="A129" s="12" t="str">
        <x:v>SYN-PH-124</x:v>
      </x:c>
      <x:c r="B129" s="12" t="str">
        <x:v>SYN</x:v>
      </x:c>
      <x:c r="C129" s="12" t="str">
        <x:v>N7</x:v>
      </x:c>
      <x:c r="D129" s="15" t="n">
        <x:v>8.6</x:v>
      </x:c>
      <x:c r="E129" s="17" t="n">
        <x:v>1</x:v>
      </x:c>
      <x:c r="F129" s="17" t="n">
        <x:v>1</x:v>
      </x:c>
      <x:c r="G129" s="12" t="str">
        <x:v>valid</x:v>
      </x:c>
      <x:c r="H129" s="12"/>
      <x:c r="I129" s="12"/>
      <x:c r="J129" s="12" t="str">
        <x:v>yes</x:v>
      </x:c>
      <x:c r="K129" s="12" t="str">
        <x:v>age_35_44</x:v>
      </x:c>
      <x:c r="L129" s="12" t="str">
        <x:v>yes</x:v>
      </x:c>
      <x:c r="M129" s="12" t="str">
        <x:v>hanoi</x:v>
      </x:c>
      <x:c r="N129" s="12" t="str">
        <x:v>monthly_2_3</x:v>
      </x:c>
      <x:c r="O129" s="17" t="n">
        <x:v>1</x:v>
      </x:c>
      <x:c r="P129" s="17" t="n">
        <x:v>1</x:v>
      </x:c>
      <x:c r="Q129" s="17" t="n">
        <x:v>0</x:v>
      </x:c>
      <x:c r="R129" s="17" t="n">
        <x:v>0</x:v>
      </x:c>
      <x:c r="S129" s="17" t="n">
        <x:v>0</x:v>
      </x:c>
      <x:c r="T129" s="12"/>
      <x:c r="U129" s="12" t="str">
        <x:v>v500k_799k</x:v>
      </x:c>
      <x:c r="V129" s="17" t="n">
        <x:v>0</x:v>
      </x:c>
      <x:c r="W129" s="17" t="n">
        <x:v>1</x:v>
      </x:c>
      <x:c r="X129" s="17" t="n">
        <x:v>0</x:v>
      </x:c>
      <x:c r="Y129" s="17" t="n">
        <x:v>0</x:v>
      </x:c>
      <x:c r="Z129" s="17" t="n">
        <x:v>0</x:v>
      </x:c>
      <x:c r="AA129" s="17" t="n">
        <x:v>0</x:v>
      </x:c>
      <x:c r="AB129" s="17" t="n">
        <x:v>1</x:v>
      </x:c>
      <x:c r="AC129" s="17" t="n">
        <x:v>0</x:v>
      </x:c>
      <x:c r="AD129" s="17" t="n">
        <x:v>0</x:v>
      </x:c>
      <x:c r="AE129" s="12"/>
      <x:c r="AF129" s="12" t="str">
        <x:v>payment_concern</x:v>
      </x:c>
      <x:c r="AG129" s="12" t="str">
        <x:v>Khó xác nhận trạng thái khi thanh toán tải lâu.</x:v>
      </x:c>
      <x:c r="AH129" s="12" t="str">
        <x:v>yes</x:v>
      </x:c>
      <x:c r="AI129" s="17" t="n">
        <x:v>0</x:v>
      </x:c>
      <x:c r="AJ129" s="17" t="n">
        <x:v>0</x:v>
      </x:c>
      <x:c r="AK129" s="17" t="n">
        <x:v>1</x:v>
      </x:c>
      <x:c r="AL129" s="17" t="n">
        <x:v>0</x:v>
      </x:c>
      <x:c r="AM129" s="17" t="n">
        <x:v>0</x:v>
      </x:c>
      <x:c r="AN129" s="17" t="n">
        <x:v>0</x:v>
      </x:c>
      <x:c r="AO129" s="17" t="n">
        <x:v>0</x:v>
      </x:c>
      <x:c r="AP129" s="17" t="n">
        <x:v>0</x:v>
      </x:c>
      <x:c r="AQ129" s="12"/>
      <x:c r="AR129" s="17" t="n">
        <x:v>1</x:v>
      </x:c>
      <x:c r="AS129" s="17" t="n">
        <x:v>0</x:v>
      </x:c>
      <x:c r="AT129" s="17" t="n">
        <x:v>0</x:v>
      </x:c>
      <x:c r="AU129" s="17" t="n">
        <x:v>1</x:v>
      </x:c>
      <x:c r="AV129" s="17" t="n">
        <x:v>0</x:v>
      </x:c>
      <x:c r="AW129" s="17" t="n">
        <x:v>0</x:v>
      </x:c>
      <x:c r="AX129" s="17" t="n">
        <x:v>1</x:v>
      </x:c>
      <x:c r="AY129" s="17" t="n">
        <x:v>0</x:v>
      </x:c>
      <x:c r="AZ129" s="17" t="n">
        <x:v>0</x:v>
      </x:c>
      <x:c r="BA129" s="12"/>
      <x:c r="BB129" s="12" t="str">
        <x:v>cod</x:v>
      </x:c>
      <x:c r="BC129" s="12" t="str">
        <x:v>Thuận tiện với cách nhận hàng gần đây.</x:v>
      </x:c>
      <x:c r="BD129" s="12" t="str">
        <x:v>depends_on_benefits</x:v>
      </x:c>
      <x:c r="BE129" s="17" t="n">
        <x:v>1</x:v>
      </x:c>
      <x:c r="BF129" s="17" t="n">
        <x:v>1</x:v>
      </x:c>
      <x:c r="BG129" s="17" t="n">
        <x:v>1</x:v>
      </x:c>
      <x:c r="BH129" s="17" t="n">
        <x:v>1</x:v>
      </x:c>
      <x:c r="BI129" s="17" t="n">
        <x:v>1</x:v>
      </x:c>
      <x:c r="BJ129" s="17" t="n">
        <x:v>1</x:v>
      </x:c>
      <x:c r="BK129" s="17" t="n">
        <x:v>0</x:v>
      </x:c>
      <x:c r="BL129" s="12" t="str">
        <x:v>neutral</x:v>
      </x:c>
      <x:c r="BM129" s="12" t="str">
        <x:v>Có xác nhận rõ kết quả thanh toán và hướng dẫn khi lỗi.</x:v>
      </x:c>
    </x:row>
    <x:row r="130" ht="64" customHeight="1">
      <x:c r="A130" s="11" t="str">
        <x:v>SYN-PH-125</x:v>
      </x:c>
      <x:c r="B130" s="11" t="str">
        <x:v>SYN</x:v>
      </x:c>
      <x:c r="C130" s="11" t="str">
        <x:v>N7</x:v>
      </x:c>
      <x:c r="D130" s="14" t="n">
        <x:v>6.5</x:v>
      </x:c>
      <x:c r="E130" s="16" t="n">
        <x:v>1</x:v>
      </x:c>
      <x:c r="F130" s="16" t="n">
        <x:v>1</x:v>
      </x:c>
      <x:c r="G130" s="11" t="str">
        <x:v>valid</x:v>
      </x:c>
      <x:c r="H130" s="11"/>
      <x:c r="I130" s="11"/>
      <x:c r="J130" s="11" t="str">
        <x:v>yes</x:v>
      </x:c>
      <x:c r="K130" s="11" t="str">
        <x:v>age_25_34</x:v>
      </x:c>
      <x:c r="L130" s="11" t="str">
        <x:v>yes</x:v>
      </x:c>
      <x:c r="M130" s="11" t="str">
        <x:v>hcm</x:v>
      </x:c>
      <x:c r="N130" s="11" t="str">
        <x:v>monthly</x:v>
      </x:c>
      <x:c r="O130" s="16" t="n">
        <x:v>1</x:v>
      </x:c>
      <x:c r="P130" s="16" t="n">
        <x:v>1</x:v>
      </x:c>
      <x:c r="Q130" s="16" t="n">
        <x:v>0</x:v>
      </x:c>
      <x:c r="R130" s="16" t="n">
        <x:v>0</x:v>
      </x:c>
      <x:c r="S130" s="16" t="n">
        <x:v>0</x:v>
      </x:c>
      <x:c r="T130" s="11"/>
      <x:c r="U130" s="11" t="str">
        <x:v>cannot_recall</x:v>
      </x:c>
      <x:c r="V130" s="16" t="n">
        <x:v>1</x:v>
      </x:c>
      <x:c r="W130" s="16" t="n">
        <x:v>1</x:v>
      </x:c>
      <x:c r="X130" s="16" t="n">
        <x:v>0</x:v>
      </x:c>
      <x:c r="Y130" s="16" t="n">
        <x:v>0</x:v>
      </x:c>
      <x:c r="Z130" s="16" t="n">
        <x:v>0</x:v>
      </x:c>
      <x:c r="AA130" s="16" t="n">
        <x:v>0</x:v>
      </x:c>
      <x:c r="AB130" s="16" t="n">
        <x:v>1</x:v>
      </x:c>
      <x:c r="AC130" s="16" t="n">
        <x:v>0</x:v>
      </x:c>
      <x:c r="AD130" s="16" t="n">
        <x:v>0</x:v>
      </x:c>
      <x:c r="AE130" s="11"/>
      <x:c r="AF130" s="11" t="str">
        <x:v>size_uncertain</x:v>
      </x:c>
      <x:c r="AG130" s="11" t="str">
        <x:v>Hai mẫu cùng ghi size M nhưng phom mô tả khác nhau.</x:v>
      </x:c>
      <x:c r="AH130" s="11" t="str">
        <x:v>no</x:v>
      </x:c>
      <x:c r="AI130" s="16"/>
      <x:c r="AJ130" s="16"/>
      <x:c r="AK130" s="16"/>
      <x:c r="AL130" s="16"/>
      <x:c r="AM130" s="16"/>
      <x:c r="AN130" s="16"/>
      <x:c r="AO130" s="16"/>
      <x:c r="AP130" s="16"/>
      <x:c r="AQ130" s="11"/>
      <x:c r="AR130" s="16" t="n">
        <x:v>1</x:v>
      </x:c>
      <x:c r="AS130" s="16" t="n">
        <x:v>1</x:v>
      </x:c>
      <x:c r="AT130" s="16" t="n">
        <x:v>0</x:v>
      </x:c>
      <x:c r="AU130" s="16" t="n">
        <x:v>0</x:v>
      </x:c>
      <x:c r="AV130" s="16" t="n">
        <x:v>0</x:v>
      </x:c>
      <x:c r="AW130" s="16" t="n">
        <x:v>0</x:v>
      </x:c>
      <x:c r="AX130" s="16" t="n">
        <x:v>1</x:v>
      </x:c>
      <x:c r="AY130" s="16" t="n">
        <x:v>0</x:v>
      </x:c>
      <x:c r="AZ130" s="16" t="n">
        <x:v>0</x:v>
      </x:c>
      <x:c r="BA130" s="11"/>
      <x:c r="BB130" s="11" t="str">
        <x:v>cod</x:v>
      </x:c>
      <x:c r="BC130" s="11" t="str">
        <x:v>Thuận tiện với cách nhận hàng gần đây.</x:v>
      </x:c>
      <x:c r="BD130" s="11" t="str">
        <x:v>depends_on_benefits</x:v>
      </x:c>
      <x:c r="BE130" s="16" t="n">
        <x:v>1</x:v>
      </x:c>
      <x:c r="BF130" s="16" t="n">
        <x:v>1</x:v>
      </x:c>
      <x:c r="BG130" s="16" t="n">
        <x:v>1</x:v>
      </x:c>
      <x:c r="BH130" s="16" t="n">
        <x:v>1</x:v>
      </x:c>
      <x:c r="BI130" s="16" t="n">
        <x:v>1</x:v>
      </x:c>
      <x:c r="BJ130" s="16" t="n">
        <x:v>0</x:v>
      </x:c>
      <x:c r="BK130" s="16" t="n">
        <x:v>0</x:v>
      </x:c>
      <x:c r="BL130" s="11" t="str">
        <x:v>less_willing</x:v>
      </x:c>
      <x:c r="BM130" s="11" t="str">
        <x:v>Ghi rõ phom áo và số đo người mẫu.</x:v>
      </x:c>
    </x:row>
    <x:row r="131" ht="64" customHeight="1">
      <x:c r="A131" s="12" t="str">
        <x:v>SYN-PH-126</x:v>
      </x:c>
      <x:c r="B131" s="12" t="str">
        <x:v>SYN</x:v>
      </x:c>
      <x:c r="C131" s="12" t="str">
        <x:v>N7</x:v>
      </x:c>
      <x:c r="D131" s="15" t="n">
        <x:v>7.6</x:v>
      </x:c>
      <x:c r="E131" s="17" t="n">
        <x:v>1</x:v>
      </x:c>
      <x:c r="F131" s="17" t="n">
        <x:v>1</x:v>
      </x:c>
      <x:c r="G131" s="12" t="str">
        <x:v>valid</x:v>
      </x:c>
      <x:c r="H131" s="12"/>
      <x:c r="I131" s="12"/>
      <x:c r="J131" s="12" t="str">
        <x:v>yes</x:v>
      </x:c>
      <x:c r="K131" s="12" t="str">
        <x:v>age_35_44</x:v>
      </x:c>
      <x:c r="L131" s="12" t="str">
        <x:v>yes</x:v>
      </x:c>
      <x:c r="M131" s="12" t="str">
        <x:v>hcm</x:v>
      </x:c>
      <x:c r="N131" s="12" t="str">
        <x:v>every_2_3_months</x:v>
      </x:c>
      <x:c r="O131" s="17" t="n">
        <x:v>1</x:v>
      </x:c>
      <x:c r="P131" s="17" t="n">
        <x:v>0</x:v>
      </x:c>
      <x:c r="Q131" s="17" t="n">
        <x:v>0</x:v>
      </x:c>
      <x:c r="R131" s="17" t="n">
        <x:v>1</x:v>
      </x:c>
      <x:c r="S131" s="17" t="n">
        <x:v>0</x:v>
      </x:c>
      <x:c r="T131" s="12"/>
      <x:c r="U131" s="12" t="str">
        <x:v>v300k_499k</x:v>
      </x:c>
      <x:c r="V131" s="17" t="n">
        <x:v>0</x:v>
      </x:c>
      <x:c r="W131" s="17" t="n">
        <x:v>0</x:v>
      </x:c>
      <x:c r="X131" s="17" t="n">
        <x:v>1</x:v>
      </x:c>
      <x:c r="Y131" s="17" t="n">
        <x:v>1</x:v>
      </x:c>
      <x:c r="Z131" s="17" t="n">
        <x:v>0</x:v>
      </x:c>
      <x:c r="AA131" s="17" t="n">
        <x:v>0</x:v>
      </x:c>
      <x:c r="AB131" s="17" t="n">
        <x:v>0</x:v>
      </x:c>
      <x:c r="AC131" s="17" t="n">
        <x:v>0</x:v>
      </x:c>
      <x:c r="AD131" s="17" t="n">
        <x:v>1</x:v>
      </x:c>
      <x:c r="AE131" s="12" t="str">
        <x:v>Khó tìm lại sản phẩm đã xem trên thiết bị khác.</x:v>
      </x:c>
      <x:c r="AF131" s="12" t="str">
        <x:v>late_total</x:v>
      </x:c>
      <x:c r="AG131" s="12" t="str">
        <x:v>Phí giao chỉ hiện ở bước xác nhận cuối.</x:v>
      </x:c>
      <x:c r="AH131" s="12" t="str">
        <x:v>no</x:v>
      </x:c>
      <x:c r="AI131" s="17"/>
      <x:c r="AJ131" s="17"/>
      <x:c r="AK131" s="17"/>
      <x:c r="AL131" s="17"/>
      <x:c r="AM131" s="17"/>
      <x:c r="AN131" s="17"/>
      <x:c r="AO131" s="17"/>
      <x:c r="AP131" s="17"/>
      <x:c r="AQ131" s="12"/>
      <x:c r="AR131" s="17" t="n">
        <x:v>0</x:v>
      </x:c>
      <x:c r="AS131" s="17" t="n">
        <x:v>0</x:v>
      </x:c>
      <x:c r="AT131" s="17" t="n">
        <x:v>1</x:v>
      </x:c>
      <x:c r="AU131" s="17" t="n">
        <x:v>0</x:v>
      </x:c>
      <x:c r="AV131" s="17" t="n">
        <x:v>1</x:v>
      </x:c>
      <x:c r="AW131" s="17" t="n">
        <x:v>0</x:v>
      </x:c>
      <x:c r="AX131" s="17" t="n">
        <x:v>0</x:v>
      </x:c>
      <x:c r="AY131" s="17" t="n">
        <x:v>1</x:v>
      </x:c>
      <x:c r="AZ131" s="17" t="n">
        <x:v>0</x:v>
      </x:c>
      <x:c r="BA131" s="12"/>
      <x:c r="BB131" s="12" t="str">
        <x:v>prepaid</x:v>
      </x:c>
      <x:c r="BC131" s="12" t="str">
        <x:v>Đã quen thao tác thanh toán trước.</x:v>
      </x:c>
      <x:c r="BD131" s="12" t="str">
        <x:v>register_now</x:v>
      </x:c>
      <x:c r="BE131" s="17" t="n">
        <x:v>1</x:v>
      </x:c>
      <x:c r="BF131" s="17" t="n">
        <x:v>1</x:v>
      </x:c>
      <x:c r="BG131" s="17" t="n">
        <x:v>1</x:v>
      </x:c>
      <x:c r="BH131" s="17" t="n">
        <x:v>1</x:v>
      </x:c>
      <x:c r="BI131" s="17" t="n">
        <x:v>1</x:v>
      </x:c>
      <x:c r="BJ131" s="17" t="n">
        <x:v>1</x:v>
      </x:c>
      <x:c r="BK131" s="17" t="n">
        <x:v>1</x:v>
      </x:c>
      <x:c r="BL131" s="12" t="str">
        <x:v>fairly_willing</x:v>
      </x:c>
      <x:c r="BM131" s="12" t="str">
        <x:v>Giải thích vì sao mã giảm giá không áp dụng.</x:v>
      </x:c>
    </x:row>
    <x:row r="132" ht="64" customHeight="1">
      <x:c r="A132" s="11" t="str">
        <x:v>SYN-PH-127</x:v>
      </x:c>
      <x:c r="B132" s="11" t="str">
        <x:v>SYN</x:v>
      </x:c>
      <x:c r="C132" s="11" t="str">
        <x:v>N7</x:v>
      </x:c>
      <x:c r="D132" s="14" t="n">
        <x:v>7.5</x:v>
      </x:c>
      <x:c r="E132" s="16" t="n">
        <x:v>1</x:v>
      </x:c>
      <x:c r="F132" s="16" t="n">
        <x:v>1</x:v>
      </x:c>
      <x:c r="G132" s="11" t="str">
        <x:v>valid</x:v>
      </x:c>
      <x:c r="H132" s="11"/>
      <x:c r="I132" s="11"/>
      <x:c r="J132" s="11" t="str">
        <x:v>yes</x:v>
      </x:c>
      <x:c r="K132" s="11" t="str">
        <x:v>age_18_24</x:v>
      </x:c>
      <x:c r="L132" s="11" t="str">
        <x:v>yes</x:v>
      </x:c>
      <x:c r="M132" s="11" t="str">
        <x:v>hcm</x:v>
      </x:c>
      <x:c r="N132" s="11" t="str">
        <x:v>monthly</x:v>
      </x:c>
      <x:c r="O132" s="16" t="n">
        <x:v>1</x:v>
      </x:c>
      <x:c r="P132" s="16" t="n">
        <x:v>0</x:v>
      </x:c>
      <x:c r="Q132" s="16" t="n">
        <x:v>1</x:v>
      </x:c>
      <x:c r="R132" s="16" t="n">
        <x:v>0</x:v>
      </x:c>
      <x:c r="S132" s="16" t="n">
        <x:v>0</x:v>
      </x:c>
      <x:c r="T132" s="11"/>
      <x:c r="U132" s="11" t="str">
        <x:v>v300k_499k</x:v>
      </x:c>
      <x:c r="V132" s="16" t="n">
        <x:v>1</x:v>
      </x:c>
      <x:c r="W132" s="16" t="n">
        <x:v>1</x:v>
      </x:c>
      <x:c r="X132" s="16" t="n">
        <x:v>0</x:v>
      </x:c>
      <x:c r="Y132" s="16" t="n">
        <x:v>0</x:v>
      </x:c>
      <x:c r="Z132" s="16" t="n">
        <x:v>1</x:v>
      </x:c>
      <x:c r="AA132" s="16" t="n">
        <x:v>0</x:v>
      </x:c>
      <x:c r="AB132" s="16" t="n">
        <x:v>0</x:v>
      </x:c>
      <x:c r="AC132" s="16" t="n">
        <x:v>0</x:v>
      </x:c>
      <x:c r="AD132" s="16" t="n">
        <x:v>0</x:v>
      </x:c>
      <x:c r="AE132" s="11"/>
      <x:c r="AF132" s="11" t="str">
        <x:v>size_uncertain</x:v>
      </x:c>
      <x:c r="AG132" s="11" t="str">
        <x:v>Không có số đo vai và chiều dài để chọn size.</x:v>
      </x:c>
      <x:c r="AH132" s="11" t="str">
        <x:v>yes</x:v>
      </x:c>
      <x:c r="AI132" s="16" t="n">
        <x:v>0</x:v>
      </x:c>
      <x:c r="AJ132" s="16" t="n">
        <x:v>1</x:v>
      </x:c>
      <x:c r="AK132" s="16" t="n">
        <x:v>1</x:v>
      </x:c>
      <x:c r="AL132" s="16" t="n">
        <x:v>1</x:v>
      </x:c>
      <x:c r="AM132" s="16" t="n">
        <x:v>0</x:v>
      </x:c>
      <x:c r="AN132" s="16" t="n">
        <x:v>0</x:v>
      </x:c>
      <x:c r="AO132" s="16" t="n">
        <x:v>0</x:v>
      </x:c>
      <x:c r="AP132" s="16" t="n">
        <x:v>0</x:v>
      </x:c>
      <x:c r="AQ132" s="11"/>
      <x:c r="AR132" s="16" t="n">
        <x:v>0</x:v>
      </x:c>
      <x:c r="AS132" s="16" t="n">
        <x:v>0</x:v>
      </x:c>
      <x:c r="AT132" s="16" t="n">
        <x:v>1</x:v>
      </x:c>
      <x:c r="AU132" s="16" t="n">
        <x:v>0</x:v>
      </x:c>
      <x:c r="AV132" s="16" t="n">
        <x:v>1</x:v>
      </x:c>
      <x:c r="AW132" s="16" t="n">
        <x:v>0</x:v>
      </x:c>
      <x:c r="AX132" s="16" t="n">
        <x:v>0</x:v>
      </x:c>
      <x:c r="AY132" s="16" t="n">
        <x:v>0</x:v>
      </x:c>
      <x:c r="AZ132" s="16" t="n">
        <x:v>1</x:v>
      </x:c>
      <x:c r="BA132" s="11" t="str">
        <x:v>Hướng dẫn bảo quản theo chất liệu</x:v>
      </x:c>
      <x:c r="BB132" s="11" t="str">
        <x:v>cannot_recall</x:v>
      </x:c>
      <x:c r="BC132" s="11" t="str">
        <x:v>Không nhớ rõ cách thanh toán của lần gần nhất.</x:v>
      </x:c>
      <x:c r="BD132" s="11" t="str">
        <x:v>guest</x:v>
      </x:c>
      <x:c r="BE132" s="16" t="n">
        <x:v>1</x:v>
      </x:c>
      <x:c r="BF132" s="16" t="n">
        <x:v>0</x:v>
      </x:c>
      <x:c r="BG132" s="16" t="n">
        <x:v>1</x:v>
      </x:c>
      <x:c r="BH132" s="16" t="n">
        <x:v>1</x:v>
      </x:c>
      <x:c r="BI132" s="16" t="n">
        <x:v>1</x:v>
      </x:c>
      <x:c r="BJ132" s="16" t="n">
        <x:v>1</x:v>
      </x:c>
      <x:c r="BK132" s="16" t="n">
        <x:v>1</x:v>
      </x:c>
      <x:c r="BL132" s="11" t="str">
        <x:v>neutral</x:v>
      </x:c>
      <x:c r="BM132" s="11" t="str">
        <x:v>Thêm bảng số đo chi tiết theo từng mẫu.</x:v>
      </x:c>
    </x:row>
    <x:row r="133" ht="64" customHeight="1">
      <x:c r="A133" s="12" t="str">
        <x:v>SYN-PH-128</x:v>
      </x:c>
      <x:c r="B133" s="12" t="str">
        <x:v>SYN</x:v>
      </x:c>
      <x:c r="C133" s="12" t="str">
        <x:v>N7</x:v>
      </x:c>
      <x:c r="D133" s="15" t="n">
        <x:v>10.3</x:v>
      </x:c>
      <x:c r="E133" s="17" t="n">
        <x:v>1</x:v>
      </x:c>
      <x:c r="F133" s="17" t="n">
        <x:v>1</x:v>
      </x:c>
      <x:c r="G133" s="12" t="str">
        <x:v>valid</x:v>
      </x:c>
      <x:c r="H133" s="12"/>
      <x:c r="I133" s="12"/>
      <x:c r="J133" s="12" t="str">
        <x:v>yes</x:v>
      </x:c>
      <x:c r="K133" s="12" t="str">
        <x:v>age_18_24</x:v>
      </x:c>
      <x:c r="L133" s="12" t="str">
        <x:v>yes</x:v>
      </x:c>
      <x:c r="M133" s="12" t="str">
        <x:v>hcm</x:v>
      </x:c>
      <x:c r="N133" s="12" t="str">
        <x:v>monthly</x:v>
      </x:c>
      <x:c r="O133" s="17" t="n">
        <x:v>1</x:v>
      </x:c>
      <x:c r="P133" s="17" t="n">
        <x:v>1</x:v>
      </x:c>
      <x:c r="Q133" s="17" t="n">
        <x:v>1</x:v>
      </x:c>
      <x:c r="R133" s="17" t="n">
        <x:v>1</x:v>
      </x:c>
      <x:c r="S133" s="17" t="n">
        <x:v>0</x:v>
      </x:c>
      <x:c r="T133" s="12"/>
      <x:c r="U133" s="12" t="str">
        <x:v>v300k_499k</x:v>
      </x:c>
      <x:c r="V133" s="17" t="n">
        <x:v>0</x:v>
      </x:c>
      <x:c r="W133" s="17" t="n">
        <x:v>0</x:v>
      </x:c>
      <x:c r="X133" s="17" t="n">
        <x:v>0</x:v>
      </x:c>
      <x:c r="Y133" s="17" t="n">
        <x:v>1</x:v>
      </x:c>
      <x:c r="Z133" s="17" t="n">
        <x:v>0</x:v>
      </x:c>
      <x:c r="AA133" s="17" t="n">
        <x:v>0</x:v>
      </x:c>
      <x:c r="AB133" s="17" t="n">
        <x:v>1</x:v>
      </x:c>
      <x:c r="AC133" s="17" t="n">
        <x:v>0</x:v>
      </x:c>
      <x:c r="AD133" s="17" t="n">
        <x:v>0</x:v>
      </x:c>
      <x:c r="AE133" s="12"/>
      <x:c r="AF133" s="12" t="str">
        <x:v>payment_concern</x:v>
      </x:c>
      <x:c r="AG133" s="12" t="str">
        <x:v>Khó xác nhận trạng thái khi thanh toán tải lâu.</x:v>
      </x:c>
      <x:c r="AH133" s="12" t="str">
        <x:v>yes</x:v>
      </x:c>
      <x:c r="AI133" s="17" t="n">
        <x:v>1</x:v>
      </x:c>
      <x:c r="AJ133" s="17" t="n">
        <x:v>0</x:v>
      </x:c>
      <x:c r="AK133" s="17" t="n">
        <x:v>0</x:v>
      </x:c>
      <x:c r="AL133" s="17" t="n">
        <x:v>0</x:v>
      </x:c>
      <x:c r="AM133" s="17" t="n">
        <x:v>0</x:v>
      </x:c>
      <x:c r="AN133" s="17" t="n">
        <x:v>1</x:v>
      </x:c>
      <x:c r="AO133" s="17" t="n">
        <x:v>0</x:v>
      </x:c>
      <x:c r="AP133" s="17" t="n">
        <x:v>0</x:v>
      </x:c>
      <x:c r="AQ133" s="12"/>
      <x:c r="AR133" s="17" t="n">
        <x:v>0</x:v>
      </x:c>
      <x:c r="AS133" s="17" t="n">
        <x:v>0</x:v>
      </x:c>
      <x:c r="AT133" s="17" t="n">
        <x:v>1</x:v>
      </x:c>
      <x:c r="AU133" s="17" t="n">
        <x:v>0</x:v>
      </x:c>
      <x:c r="AV133" s="17" t="n">
        <x:v>1</x:v>
      </x:c>
      <x:c r="AW133" s="17" t="n">
        <x:v>1</x:v>
      </x:c>
      <x:c r="AX133" s="17" t="n">
        <x:v>0</x:v>
      </x:c>
      <x:c r="AY133" s="17" t="n">
        <x:v>0</x:v>
      </x:c>
      <x:c r="AZ133" s="17" t="n">
        <x:v>0</x:v>
      </x:c>
      <x:c r="BA133" s="12"/>
      <x:c r="BB133" s="12" t="str">
        <x:v>cod</x:v>
      </x:c>
      <x:c r="BC133" s="12" t="str">
        <x:v>Muốn nhận hàng rồi mới thanh toán.</x:v>
      </x:c>
      <x:c r="BD133" s="12" t="str">
        <x:v>depends_on_benefits</x:v>
      </x:c>
      <x:c r="BE133" s="17" t="n">
        <x:v>1</x:v>
      </x:c>
      <x:c r="BF133" s="17" t="n">
        <x:v>1</x:v>
      </x:c>
      <x:c r="BG133" s="17" t="n">
        <x:v>1</x:v>
      </x:c>
      <x:c r="BH133" s="17" t="n">
        <x:v>1</x:v>
      </x:c>
      <x:c r="BI133" s="17" t="n">
        <x:v>1</x:v>
      </x:c>
      <x:c r="BJ133" s="17" t="n">
        <x:v>0</x:v>
      </x:c>
      <x:c r="BK133" s="17" t="n">
        <x:v>0</x:v>
      </x:c>
      <x:c r="BL133" s="12" t="str">
        <x:v>fairly_willing</x:v>
      </x:c>
      <x:c r="BM133" s="12" t="str">
        <x:v>Có xác nhận rõ kết quả thanh toán và hướng dẫn khi lỗi.</x:v>
      </x:c>
    </x:row>
    <x:row r="134" ht="64" customHeight="1">
      <x:c r="A134" s="11" t="str">
        <x:v>SYN-PH-129</x:v>
      </x:c>
      <x:c r="B134" s="11" t="str">
        <x:v>SYN</x:v>
      </x:c>
      <x:c r="C134" s="11" t="str">
        <x:v>N7</x:v>
      </x:c>
      <x:c r="D134" s="14" t="n">
        <x:v>7.9</x:v>
      </x:c>
      <x:c r="E134" s="16" t="n">
        <x:v>1</x:v>
      </x:c>
      <x:c r="F134" s="16" t="n">
        <x:v>1</x:v>
      </x:c>
      <x:c r="G134" s="11" t="str">
        <x:v>valid</x:v>
      </x:c>
      <x:c r="H134" s="11"/>
      <x:c r="I134" s="11"/>
      <x:c r="J134" s="11" t="str">
        <x:v>yes</x:v>
      </x:c>
      <x:c r="K134" s="11" t="str">
        <x:v>age_35_44</x:v>
      </x:c>
      <x:c r="L134" s="11" t="str">
        <x:v>yes</x:v>
      </x:c>
      <x:c r="M134" s="11" t="str">
        <x:v>hanoi</x:v>
      </x:c>
      <x:c r="N134" s="11" t="str">
        <x:v>monthly</x:v>
      </x:c>
      <x:c r="O134" s="16" t="n">
        <x:v>1</x:v>
      </x:c>
      <x:c r="P134" s="16" t="n">
        <x:v>0</x:v>
      </x:c>
      <x:c r="Q134" s="16" t="n">
        <x:v>0</x:v>
      </x:c>
      <x:c r="R134" s="16" t="n">
        <x:v>1</x:v>
      </x:c>
      <x:c r="S134" s="16" t="n">
        <x:v>1</x:v>
      </x:c>
      <x:c r="T134" s="11" t="str">
        <x:v>Danh mục bán hàng trong cộng đồng sở thích</x:v>
      </x:c>
      <x:c r="U134" s="11" t="str">
        <x:v>v300k_499k</x:v>
      </x:c>
      <x:c r="V134" s="16" t="n">
        <x:v>0</x:v>
      </x:c>
      <x:c r="W134" s="16" t="n">
        <x:v>1</x:v>
      </x:c>
      <x:c r="X134" s="16" t="n">
        <x:v>0</x:v>
      </x:c>
      <x:c r="Y134" s="16" t="n">
        <x:v>1</x:v>
      </x:c>
      <x:c r="Z134" s="16" t="n">
        <x:v>0</x:v>
      </x:c>
      <x:c r="AA134" s="16" t="n">
        <x:v>0</x:v>
      </x:c>
      <x:c r="AB134" s="16" t="n">
        <x:v>0</x:v>
      </x:c>
      <x:c r="AC134" s="16" t="n">
        <x:v>0</x:v>
      </x:c>
      <x:c r="AD134" s="16" t="n">
        <x:v>0</x:v>
      </x:c>
      <x:c r="AE134" s="11"/>
      <x:c r="AF134" s="11" t="str">
        <x:v>late_total</x:v>
      </x:c>
      <x:c r="AG134" s="11" t="str">
        <x:v>Tổng tiền sau ưu đãi khó đối chiếu với từng khoản.</x:v>
      </x:c>
      <x:c r="AH134" s="11" t="str">
        <x:v>yes</x:v>
      </x:c>
      <x:c r="AI134" s="16" t="n">
        <x:v>1</x:v>
      </x:c>
      <x:c r="AJ134" s="16" t="n">
        <x:v>0</x:v>
      </x:c>
      <x:c r="AK134" s="16" t="n">
        <x:v>1</x:v>
      </x:c>
      <x:c r="AL134" s="16" t="n">
        <x:v>0</x:v>
      </x:c>
      <x:c r="AM134" s="16" t="n">
        <x:v>1</x:v>
      </x:c>
      <x:c r="AN134" s="16" t="n">
        <x:v>0</x:v>
      </x:c>
      <x:c r="AO134" s="16" t="n">
        <x:v>0</x:v>
      </x:c>
      <x:c r="AP134" s="16" t="n">
        <x:v>0</x:v>
      </x:c>
      <x:c r="AQ134" s="11"/>
      <x:c r="AR134" s="16" t="n">
        <x:v>0</x:v>
      </x:c>
      <x:c r="AS134" s="16" t="n">
        <x:v>1</x:v>
      </x:c>
      <x:c r="AT134" s="16" t="n">
        <x:v>0</x:v>
      </x:c>
      <x:c r="AU134" s="16" t="n">
        <x:v>1</x:v>
      </x:c>
      <x:c r="AV134" s="16" t="n">
        <x:v>1</x:v>
      </x:c>
      <x:c r="AW134" s="16" t="n">
        <x:v>0</x:v>
      </x:c>
      <x:c r="AX134" s="16" t="n">
        <x:v>0</x:v>
      </x:c>
      <x:c r="AY134" s="16" t="n">
        <x:v>0</x:v>
      </x:c>
      <x:c r="AZ134" s="16" t="n">
        <x:v>0</x:v>
      </x:c>
      <x:c r="BA134" s="11"/>
      <x:c r="BB134" s="11" t="str">
        <x:v>cod</x:v>
      </x:c>
      <x:c r="BC134" s="11" t="str">
        <x:v>Thuận tiện với cách nhận hàng gần đây.</x:v>
      </x:c>
      <x:c r="BD134" s="11" t="str">
        <x:v>depends_on_benefits</x:v>
      </x:c>
      <x:c r="BE134" s="16" t="n">
        <x:v>1</x:v>
      </x:c>
      <x:c r="BF134" s="16" t="n">
        <x:v>1</x:v>
      </x:c>
      <x:c r="BG134" s="16" t="n">
        <x:v>0</x:v>
      </x:c>
      <x:c r="BH134" s="16" t="n">
        <x:v>1</x:v>
      </x:c>
      <x:c r="BI134" s="16" t="n">
        <x:v>1</x:v>
      </x:c>
      <x:c r="BJ134" s="16" t="n">
        <x:v>0</x:v>
      </x:c>
      <x:c r="BK134" s="16" t="n">
        <x:v>0</x:v>
      </x:c>
      <x:c r="BL134" s="11" t="str">
        <x:v>fairly_willing</x:v>
      </x:c>
      <x:c r="BM134" s="11" t="str">
        <x:v>Giải thích vì sao mã giảm giá không áp dụng.</x:v>
      </x:c>
    </x:row>
    <x:row r="135" ht="64" customHeight="1">
      <x:c r="A135" s="12" t="str">
        <x:v>SYN-PH-130</x:v>
      </x:c>
      <x:c r="B135" s="12" t="str">
        <x:v>SYN</x:v>
      </x:c>
      <x:c r="C135" s="12" t="str">
        <x:v>N7</x:v>
      </x:c>
      <x:c r="D135" s="15" t="n">
        <x:v>7.7</x:v>
      </x:c>
      <x:c r="E135" s="17" t="n">
        <x:v>1</x:v>
      </x:c>
      <x:c r="F135" s="17" t="n">
        <x:v>1</x:v>
      </x:c>
      <x:c r="G135" s="12" t="str">
        <x:v>valid</x:v>
      </x:c>
      <x:c r="H135" s="12"/>
      <x:c r="I135" s="12"/>
      <x:c r="J135" s="12" t="str">
        <x:v>yes</x:v>
      </x:c>
      <x:c r="K135" s="12" t="str">
        <x:v>age_25_34</x:v>
      </x:c>
      <x:c r="L135" s="12" t="str">
        <x:v>yes</x:v>
      </x:c>
      <x:c r="M135" s="12" t="str">
        <x:v>hanoi</x:v>
      </x:c>
      <x:c r="N135" s="12" t="str">
        <x:v>weekly</x:v>
      </x:c>
      <x:c r="O135" s="17" t="n">
        <x:v>1</x:v>
      </x:c>
      <x:c r="P135" s="17" t="n">
        <x:v>0</x:v>
      </x:c>
      <x:c r="Q135" s="17" t="n">
        <x:v>1</x:v>
      </x:c>
      <x:c r="R135" s="17" t="n">
        <x:v>1</x:v>
      </x:c>
      <x:c r="S135" s="17" t="n">
        <x:v>0</x:v>
      </x:c>
      <x:c r="T135" s="12"/>
      <x:c r="U135" s="12" t="str">
        <x:v>v800k_1199k</x:v>
      </x:c>
      <x:c r="V135" s="17" t="n">
        <x:v>1</x:v>
      </x:c>
      <x:c r="W135" s="17" t="n">
        <x:v>1</x:v>
      </x:c>
      <x:c r="X135" s="17" t="n">
        <x:v>1</x:v>
      </x:c>
      <x:c r="Y135" s="17" t="n">
        <x:v>0</x:v>
      </x:c>
      <x:c r="Z135" s="17" t="n">
        <x:v>1</x:v>
      </x:c>
      <x:c r="AA135" s="17" t="n">
        <x:v>0</x:v>
      </x:c>
      <x:c r="AB135" s="17" t="n">
        <x:v>0</x:v>
      </x:c>
      <x:c r="AC135" s="17" t="n">
        <x:v>0</x:v>
      </x:c>
      <x:c r="AD135" s="17" t="n">
        <x:v>0</x:v>
      </x:c>
      <x:c r="AE135" s="12"/>
      <x:c r="AF135" s="12" t="str">
        <x:v>photo_mismatch</x:v>
      </x:c>
      <x:c r="AG135" s="12" t="str">
        <x:v>Màu trong ảnh và mô tả thiếu thông tin dưới ánh sáng thường.</x:v>
      </x:c>
      <x:c r="AH135" s="12" t="str">
        <x:v>cannot_recall</x:v>
      </x:c>
      <x:c r="AI135" s="17"/>
      <x:c r="AJ135" s="17"/>
      <x:c r="AK135" s="17"/>
      <x:c r="AL135" s="17"/>
      <x:c r="AM135" s="17"/>
      <x:c r="AN135" s="17"/>
      <x:c r="AO135" s="17"/>
      <x:c r="AP135" s="17"/>
      <x:c r="AQ135" s="12"/>
      <x:c r="AR135" s="17" t="n">
        <x:v>0</x:v>
      </x:c>
      <x:c r="AS135" s="17" t="n">
        <x:v>1</x:v>
      </x:c>
      <x:c r="AT135" s="17" t="n">
        <x:v>1</x:v>
      </x:c>
      <x:c r="AU135" s="17" t="n">
        <x:v>0</x:v>
      </x:c>
      <x:c r="AV135" s="17" t="n">
        <x:v>0</x:v>
      </x:c>
      <x:c r="AW135" s="17" t="n">
        <x:v>1</x:v>
      </x:c>
      <x:c r="AX135" s="17" t="n">
        <x:v>0</x:v>
      </x:c>
      <x:c r="AY135" s="17" t="n">
        <x:v>0</x:v>
      </x:c>
      <x:c r="AZ135" s="17" t="n">
        <x:v>0</x:v>
      </x:c>
      <x:c r="BA135" s="12"/>
      <x:c r="BB135" s="12" t="str">
        <x:v>prepaid</x:v>
      </x:c>
      <x:c r="BC135" s="12" t="str">
        <x:v>Tiện cho người nhận không cần chuẩn bị tiền.</x:v>
      </x:c>
      <x:c r="BD135" s="12" t="str">
        <x:v>depends_on_benefits</x:v>
      </x:c>
      <x:c r="BE135" s="17" t="n">
        <x:v>1</x:v>
      </x:c>
      <x:c r="BF135" s="17" t="n">
        <x:v>1</x:v>
      </x:c>
      <x:c r="BG135" s="17" t="n">
        <x:v>1</x:v>
      </x:c>
      <x:c r="BH135" s="17" t="n">
        <x:v>1</x:v>
      </x:c>
      <x:c r="BI135" s="17" t="n">
        <x:v>1</x:v>
      </x:c>
      <x:c r="BJ135" s="17" t="n">
        <x:v>0</x:v>
      </x:c>
      <x:c r="BK135" s="17" t="n">
        <x:v>1</x:v>
      </x:c>
      <x:c r="BL135" s="12" t="str">
        <x:v>very_willing</x:v>
      </x:c>
      <x:c r="BM135" s="12" t="str">
        <x:v>Bổ sung ảnh cận chất liệu dưới ánh sáng thường.</x:v>
      </x:c>
    </x:row>
    <x:row r="136" ht="64" customHeight="1">
      <x:c r="A136" s="11" t="str">
        <x:v>SYN-PH-131</x:v>
      </x:c>
      <x:c r="B136" s="11" t="str">
        <x:v>SYN</x:v>
      </x:c>
      <x:c r="C136" s="11" t="str">
        <x:v>N7</x:v>
      </x:c>
      <x:c r="D136" s="14" t="n">
        <x:v>10.1</x:v>
      </x:c>
      <x:c r="E136" s="16" t="n">
        <x:v>1</x:v>
      </x:c>
      <x:c r="F136" s="16" t="n">
        <x:v>1</x:v>
      </x:c>
      <x:c r="G136" s="11" t="str">
        <x:v>valid</x:v>
      </x:c>
      <x:c r="H136" s="11"/>
      <x:c r="I136" s="11"/>
      <x:c r="J136" s="11" t="str">
        <x:v>yes</x:v>
      </x:c>
      <x:c r="K136" s="11" t="str">
        <x:v>age_25_34</x:v>
      </x:c>
      <x:c r="L136" s="11" t="str">
        <x:v>yes</x:v>
      </x:c>
      <x:c r="M136" s="11" t="str">
        <x:v>hanoi</x:v>
      </x:c>
      <x:c r="N136" s="11" t="str">
        <x:v>monthly</x:v>
      </x:c>
      <x:c r="O136" s="16" t="n">
        <x:v>1</x:v>
      </x:c>
      <x:c r="P136" s="16" t="n">
        <x:v>1</x:v>
      </x:c>
      <x:c r="Q136" s="16" t="n">
        <x:v>1</x:v>
      </x:c>
      <x:c r="R136" s="16" t="n">
        <x:v>0</x:v>
      </x:c>
      <x:c r="S136" s="16" t="n">
        <x:v>0</x:v>
      </x:c>
      <x:c r="T136" s="11"/>
      <x:c r="U136" s="11" t="str">
        <x:v>v800k_1199k</x:v>
      </x:c>
      <x:c r="V136" s="16" t="n">
        <x:v>0</x:v>
      </x:c>
      <x:c r="W136" s="16" t="n">
        <x:v>0</x:v>
      </x:c>
      <x:c r="X136" s="16" t="n">
        <x:v>0</x:v>
      </x:c>
      <x:c r="Y136" s="16" t="n">
        <x:v>0</x:v>
      </x:c>
      <x:c r="Z136" s="16" t="n">
        <x:v>0</x:v>
      </x:c>
      <x:c r="AA136" s="16" t="n">
        <x:v>1</x:v>
      </x:c>
      <x:c r="AB136" s="16" t="n">
        <x:v>0</x:v>
      </x:c>
      <x:c r="AC136" s="16" t="n">
        <x:v>0</x:v>
      </x:c>
      <x:c r="AD136" s="16" t="n">
        <x:v>0</x:v>
      </x:c>
      <x:c r="AE136" s="11"/>
      <x:c r="AF136" s="11" t="str">
        <x:v>tracking_unclear</x:v>
      </x:c>
      <x:c r="AG136" s="11" t="str">
        <x:v>Một đơn có nhiều kiện nhưng chỉ thấy trạng thái chung.</x:v>
      </x:c>
      <x:c r="AH136" s="11" t="str">
        <x:v>yes</x:v>
      </x:c>
      <x:c r="AI136" s="16" t="n">
        <x:v>0</x:v>
      </x:c>
      <x:c r="AJ136" s="16" t="n">
        <x:v>0</x:v>
      </x:c>
      <x:c r="AK136" s="16" t="n">
        <x:v>0</x:v>
      </x:c>
      <x:c r="AL136" s="16" t="n">
        <x:v>1</x:v>
      </x:c>
      <x:c r="AM136" s="16" t="n">
        <x:v>0</x:v>
      </x:c>
      <x:c r="AN136" s="16" t="n">
        <x:v>0</x:v>
      </x:c>
      <x:c r="AO136" s="16" t="n">
        <x:v>0</x:v>
      </x:c>
      <x:c r="AP136" s="16" t="n">
        <x:v>0</x:v>
      </x:c>
      <x:c r="AQ136" s="11"/>
      <x:c r="AR136" s="16" t="n">
        <x:v>1</x:v>
      </x:c>
      <x:c r="AS136" s="16" t="n">
        <x:v>0</x:v>
      </x:c>
      <x:c r="AT136" s="16" t="n">
        <x:v>1</x:v>
      </x:c>
      <x:c r="AU136" s="16" t="n">
        <x:v>0</x:v>
      </x:c>
      <x:c r="AV136" s="16" t="n">
        <x:v>0</x:v>
      </x:c>
      <x:c r="AW136" s="16" t="n">
        <x:v>0</x:v>
      </x:c>
      <x:c r="AX136" s="16" t="n">
        <x:v>0</x:v>
      </x:c>
      <x:c r="AY136" s="16" t="n">
        <x:v>1</x:v>
      </x:c>
      <x:c r="AZ136" s="16" t="n">
        <x:v>0</x:v>
      </x:c>
      <x:c r="BA136" s="11"/>
      <x:c r="BB136" s="11" t="str">
        <x:v>prepaid</x:v>
      </x:c>
      <x:c r="BC136" s="11" t="str">
        <x:v>Tiện cho người nhận không cần chuẩn bị tiền.</x:v>
      </x:c>
      <x:c r="BD136" s="11" t="str">
        <x:v>guest</x:v>
      </x:c>
      <x:c r="BE136" s="16" t="n">
        <x:v>0</x:v>
      </x:c>
      <x:c r="BF136" s="16" t="n">
        <x:v>0</x:v>
      </x:c>
      <x:c r="BG136" s="16" t="n">
        <x:v>1</x:v>
      </x:c>
      <x:c r="BH136" s="16" t="n">
        <x:v>0</x:v>
      </x:c>
      <x:c r="BI136" s="16" t="n">
        <x:v>1</x:v>
      </x:c>
      <x:c r="BJ136" s="16" t="n">
        <x:v>1</x:v>
      </x:c>
      <x:c r="BK136" s="16" t="n">
        <x:v>1</x:v>
      </x:c>
      <x:c r="BL136" s="11" t="str">
        <x:v>less_willing</x:v>
      </x:c>
      <x:c r="BM136" s="11" t="str">
        <x:v>Hiển thị mốc giao hàng và thông tin riêng từng kiện.</x:v>
      </x:c>
    </x:row>
    <x:row r="137" ht="64" customHeight="1">
      <x:c r="A137" s="12" t="str">
        <x:v>SYN-PH-132</x:v>
      </x:c>
      <x:c r="B137" s="12" t="str">
        <x:v>SYN</x:v>
      </x:c>
      <x:c r="C137" s="12" t="str">
        <x:v>N7</x:v>
      </x:c>
      <x:c r="D137" s="15" t="n">
        <x:v>9.9</x:v>
      </x:c>
      <x:c r="E137" s="17" t="n">
        <x:v>1</x:v>
      </x:c>
      <x:c r="F137" s="17" t="n">
        <x:v>1</x:v>
      </x:c>
      <x:c r="G137" s="12" t="str">
        <x:v>valid</x:v>
      </x:c>
      <x:c r="H137" s="12"/>
      <x:c r="I137" s="12"/>
      <x:c r="J137" s="12" t="str">
        <x:v>yes</x:v>
      </x:c>
      <x:c r="K137" s="12" t="str">
        <x:v>age_35_44</x:v>
      </x:c>
      <x:c r="L137" s="12" t="str">
        <x:v>yes</x:v>
      </x:c>
      <x:c r="M137" s="12" t="str">
        <x:v>other_urban</x:v>
      </x:c>
      <x:c r="N137" s="12" t="str">
        <x:v>monthly_2_3</x:v>
      </x:c>
      <x:c r="O137" s="17" t="n">
        <x:v>0</x:v>
      </x:c>
      <x:c r="P137" s="17" t="n">
        <x:v>1</x:v>
      </x:c>
      <x:c r="Q137" s="17" t="n">
        <x:v>0</x:v>
      </x:c>
      <x:c r="R137" s="17" t="n">
        <x:v>0</x:v>
      </x:c>
      <x:c r="S137" s="17" t="n">
        <x:v>0</x:v>
      </x:c>
      <x:c r="T137" s="12"/>
      <x:c r="U137" s="12" t="str">
        <x:v>v300k_499k</x:v>
      </x:c>
      <x:c r="V137" s="17" t="n">
        <x:v>1</x:v>
      </x:c>
      <x:c r="W137" s="17" t="n">
        <x:v>0</x:v>
      </x:c>
      <x:c r="X137" s="17" t="n">
        <x:v>0</x:v>
      </x:c>
      <x:c r="Y137" s="17" t="n">
        <x:v>0</x:v>
      </x:c>
      <x:c r="Z137" s="17" t="n">
        <x:v>0</x:v>
      </x:c>
      <x:c r="AA137" s="17" t="n">
        <x:v>1</x:v>
      </x:c>
      <x:c r="AB137" s="17" t="n">
        <x:v>0</x:v>
      </x:c>
      <x:c r="AC137" s="17" t="n">
        <x:v>0</x:v>
      </x:c>
      <x:c r="AD137" s="17" t="n">
        <x:v>0</x:v>
      </x:c>
      <x:c r="AE137" s="12"/>
      <x:c r="AF137" s="12" t="str">
        <x:v>size_uncertain</x:v>
      </x:c>
      <x:c r="AG137" s="12" t="str">
        <x:v>Không có số đo vai và chiều dài để chọn size.</x:v>
      </x:c>
      <x:c r="AH137" s="12" t="str">
        <x:v>no</x:v>
      </x:c>
      <x:c r="AI137" s="17"/>
      <x:c r="AJ137" s="17"/>
      <x:c r="AK137" s="17"/>
      <x:c r="AL137" s="17"/>
      <x:c r="AM137" s="17"/>
      <x:c r="AN137" s="17"/>
      <x:c r="AO137" s="17"/>
      <x:c r="AP137" s="17"/>
      <x:c r="AQ137" s="12"/>
      <x:c r="AR137" s="17" t="n">
        <x:v>0</x:v>
      </x:c>
      <x:c r="AS137" s="17" t="n">
        <x:v>0</x:v>
      </x:c>
      <x:c r="AT137" s="17" t="n">
        <x:v>1</x:v>
      </x:c>
      <x:c r="AU137" s="17" t="n">
        <x:v>0</x:v>
      </x:c>
      <x:c r="AV137" s="17" t="n">
        <x:v>1</x:v>
      </x:c>
      <x:c r="AW137" s="17" t="n">
        <x:v>0</x:v>
      </x:c>
      <x:c r="AX137" s="17" t="n">
        <x:v>1</x:v>
      </x:c>
      <x:c r="AY137" s="17" t="n">
        <x:v>0</x:v>
      </x:c>
      <x:c r="AZ137" s="17" t="n">
        <x:v>0</x:v>
      </x:c>
      <x:c r="BA137" s="12"/>
      <x:c r="BB137" s="12" t="str">
        <x:v>cod</x:v>
      </x:c>
      <x:c r="BC137" s="12" t="str">
        <x:v>Thuận tiện với cách nhận hàng gần đây.</x:v>
      </x:c>
      <x:c r="BD137" s="12" t="str">
        <x:v>guest</x:v>
      </x:c>
      <x:c r="BE137" s="17" t="n">
        <x:v>1</x:v>
      </x:c>
      <x:c r="BF137" s="17" t="n">
        <x:v>1</x:v>
      </x:c>
      <x:c r="BG137" s="17" t="n">
        <x:v>1</x:v>
      </x:c>
      <x:c r="BH137" s="17" t="n">
        <x:v>0</x:v>
      </x:c>
      <x:c r="BI137" s="17" t="n">
        <x:v>1</x:v>
      </x:c>
      <x:c r="BJ137" s="17" t="n">
        <x:v>1</x:v>
      </x:c>
      <x:c r="BK137" s="17" t="n">
        <x:v>0</x:v>
      </x:c>
      <x:c r="BL137" s="12" t="str">
        <x:v>very_willing</x:v>
      </x:c>
      <x:c r="BM137" s="12" t="str">
        <x:v>Thêm bảng số đo chi tiết theo từng mẫu.</x:v>
      </x:c>
    </x:row>
    <x:row r="138" ht="64" customHeight="1">
      <x:c r="A138" s="11" t="str">
        <x:v>SYN-PH-133</x:v>
      </x:c>
      <x:c r="B138" s="11" t="str">
        <x:v>SYN</x:v>
      </x:c>
      <x:c r="C138" s="11" t="str">
        <x:v>N7</x:v>
      </x:c>
      <x:c r="D138" s="14" t="n">
        <x:v>9.9</x:v>
      </x:c>
      <x:c r="E138" s="16" t="n">
        <x:v>1</x:v>
      </x:c>
      <x:c r="F138" s="16" t="n">
        <x:v>1</x:v>
      </x:c>
      <x:c r="G138" s="11" t="str">
        <x:v>valid</x:v>
      </x:c>
      <x:c r="H138" s="11"/>
      <x:c r="I138" s="11"/>
      <x:c r="J138" s="11" t="str">
        <x:v>yes</x:v>
      </x:c>
      <x:c r="K138" s="11" t="str">
        <x:v>age_35_44</x:v>
      </x:c>
      <x:c r="L138" s="11" t="str">
        <x:v>yes</x:v>
      </x:c>
      <x:c r="M138" s="11" t="str">
        <x:v>prefer_not_to_say</x:v>
      </x:c>
      <x:c r="N138" s="11" t="str">
        <x:v>less_often</x:v>
      </x:c>
      <x:c r="O138" s="16" t="n">
        <x:v>1</x:v>
      </x:c>
      <x:c r="P138" s="16" t="n">
        <x:v>0</x:v>
      </x:c>
      <x:c r="Q138" s="16" t="n">
        <x:v>0</x:v>
      </x:c>
      <x:c r="R138" s="16" t="n">
        <x:v>0</x:v>
      </x:c>
      <x:c r="S138" s="16" t="n">
        <x:v>0</x:v>
      </x:c>
      <x:c r="T138" s="11"/>
      <x:c r="U138" s="11" t="str">
        <x:v>v800k_1199k</x:v>
      </x:c>
      <x:c r="V138" s="16" t="n">
        <x:v>0</x:v>
      </x:c>
      <x:c r="W138" s="16" t="n">
        <x:v>0</x:v>
      </x:c>
      <x:c r="X138" s="16" t="n">
        <x:v>0</x:v>
      </x:c>
      <x:c r="Y138" s="16" t="n">
        <x:v>0</x:v>
      </x:c>
      <x:c r="Z138" s="16" t="n">
        <x:v>1</x:v>
      </x:c>
      <x:c r="AA138" s="16" t="n">
        <x:v>0</x:v>
      </x:c>
      <x:c r="AB138" s="16" t="n">
        <x:v>1</x:v>
      </x:c>
      <x:c r="AC138" s="16" t="n">
        <x:v>0</x:v>
      </x:c>
      <x:c r="AD138" s="16" t="n">
        <x:v>0</x:v>
      </x:c>
      <x:c r="AE138" s="11"/>
      <x:c r="AF138" s="11" t="str">
        <x:v>stock_unclear</x:v>
      </x:c>
      <x:c r="AG138" s="11" t="str">
        <x:v>Không biết lựa chọn size nào đang có hàng.</x:v>
      </x:c>
      <x:c r="AH138" s="11" t="str">
        <x:v>no</x:v>
      </x:c>
      <x:c r="AI138" s="16"/>
      <x:c r="AJ138" s="16"/>
      <x:c r="AK138" s="16"/>
      <x:c r="AL138" s="16"/>
      <x:c r="AM138" s="16"/>
      <x:c r="AN138" s="16"/>
      <x:c r="AO138" s="16"/>
      <x:c r="AP138" s="16"/>
      <x:c r="AQ138" s="11"/>
      <x:c r="AR138" s="16" t="n">
        <x:v>0</x:v>
      </x:c>
      <x:c r="AS138" s="16" t="n">
        <x:v>0</x:v>
      </x:c>
      <x:c r="AT138" s="16" t="n">
        <x:v>1</x:v>
      </x:c>
      <x:c r="AU138" s="16" t="n">
        <x:v>1</x:v>
      </x:c>
      <x:c r="AV138" s="16" t="n">
        <x:v>0</x:v>
      </x:c>
      <x:c r="AW138" s="16" t="n">
        <x:v>0</x:v>
      </x:c>
      <x:c r="AX138" s="16" t="n">
        <x:v>0</x:v>
      </x:c>
      <x:c r="AY138" s="16" t="n">
        <x:v>1</x:v>
      </x:c>
      <x:c r="AZ138" s="16" t="n">
        <x:v>0</x:v>
      </x:c>
      <x:c r="BA138" s="11"/>
      <x:c r="BB138" s="11" t="str">
        <x:v>cod</x:v>
      </x:c>
      <x:c r="BC138" s="11" t="str">
        <x:v>Muốn nhận hàng rồi mới thanh toán.</x:v>
      </x:c>
      <x:c r="BD138" s="11" t="str">
        <x:v>depends_on_benefits</x:v>
      </x:c>
      <x:c r="BE138" s="16" t="n">
        <x:v>1</x:v>
      </x:c>
      <x:c r="BF138" s="16" t="n">
        <x:v>1</x:v>
      </x:c>
      <x:c r="BG138" s="16" t="n">
        <x:v>1</x:v>
      </x:c>
      <x:c r="BH138" s="16" t="n">
        <x:v>1</x:v>
      </x:c>
      <x:c r="BI138" s="16" t="n">
        <x:v>1</x:v>
      </x:c>
      <x:c r="BJ138" s="16" t="n">
        <x:v>1</x:v>
      </x:c>
      <x:c r="BK138" s="16" t="n">
        <x:v>0</x:v>
      </x:c>
      <x:c r="BL138" s="11" t="str">
        <x:v>less_willing</x:v>
      </x:c>
      <x:c r="BM138" s="11" t="str">
        <x:v>Hiển thị tồn theo từng size và màu.</x:v>
      </x:c>
    </x:row>
    <x:row r="139" ht="64" customHeight="1">
      <x:c r="A139" s="12" t="str">
        <x:v>SYN-PH-134</x:v>
      </x:c>
      <x:c r="B139" s="12" t="str">
        <x:v>SYN</x:v>
      </x:c>
      <x:c r="C139" s="12" t="str">
        <x:v>N7</x:v>
      </x:c>
      <x:c r="D139" s="15" t="n">
        <x:v>11.4</x:v>
      </x:c>
      <x:c r="E139" s="17" t="n">
        <x:v>1</x:v>
      </x:c>
      <x:c r="F139" s="17" t="n">
        <x:v>1</x:v>
      </x:c>
      <x:c r="G139" s="12" t="str">
        <x:v>valid</x:v>
      </x:c>
      <x:c r="H139" s="12"/>
      <x:c r="I139" s="12"/>
      <x:c r="J139" s="12" t="str">
        <x:v>yes</x:v>
      </x:c>
      <x:c r="K139" s="12" t="str">
        <x:v>age_35_44</x:v>
      </x:c>
      <x:c r="L139" s="12" t="str">
        <x:v>yes</x:v>
      </x:c>
      <x:c r="M139" s="12" t="str">
        <x:v>nonurban</x:v>
      </x:c>
      <x:c r="N139" s="12" t="str">
        <x:v>monthly</x:v>
      </x:c>
      <x:c r="O139" s="17" t="n">
        <x:v>0</x:v>
      </x:c>
      <x:c r="P139" s="17" t="n">
        <x:v>0</x:v>
      </x:c>
      <x:c r="Q139" s="17" t="n">
        <x:v>0</x:v>
      </x:c>
      <x:c r="R139" s="17" t="n">
        <x:v>1</x:v>
      </x:c>
      <x:c r="S139" s="17" t="n">
        <x:v>0</x:v>
      </x:c>
      <x:c r="T139" s="12"/>
      <x:c r="U139" s="12" t="str">
        <x:v>v500k_799k</x:v>
      </x:c>
      <x:c r="V139" s="17" t="n">
        <x:v>1</x:v>
      </x:c>
      <x:c r="W139" s="17" t="n">
        <x:v>1</x:v>
      </x:c>
      <x:c r="X139" s="17" t="n">
        <x:v>0</x:v>
      </x:c>
      <x:c r="Y139" s="17" t="n">
        <x:v>0</x:v>
      </x:c>
      <x:c r="Z139" s="17" t="n">
        <x:v>0</x:v>
      </x:c>
      <x:c r="AA139" s="17" t="n">
        <x:v>1</x:v>
      </x:c>
      <x:c r="AB139" s="17" t="n">
        <x:v>0</x:v>
      </x:c>
      <x:c r="AC139" s="17" t="n">
        <x:v>0</x:v>
      </x:c>
      <x:c r="AD139" s="17" t="n">
        <x:v>0</x:v>
      </x:c>
      <x:c r="AE139" s="12"/>
      <x:c r="AF139" s="12" t="str">
        <x:v>photo_mismatch</x:v>
      </x:c>
      <x:c r="AG139" s="12" t="str">
        <x:v>Thiếu ảnh cận chất liệu và đường may.</x:v>
      </x:c>
      <x:c r="AH139" s="12" t="str">
        <x:v>yes</x:v>
      </x:c>
      <x:c r="AI139" s="17" t="n">
        <x:v>0</x:v>
      </x:c>
      <x:c r="AJ139" s="17" t="n">
        <x:v>0</x:v>
      </x:c>
      <x:c r="AK139" s="17" t="n">
        <x:v>1</x:v>
      </x:c>
      <x:c r="AL139" s="17" t="n">
        <x:v>0</x:v>
      </x:c>
      <x:c r="AM139" s="17" t="n">
        <x:v>1</x:v>
      </x:c>
      <x:c r="AN139" s="17" t="n">
        <x:v>0</x:v>
      </x:c>
      <x:c r="AO139" s="17" t="n">
        <x:v>0</x:v>
      </x:c>
      <x:c r="AP139" s="17" t="n">
        <x:v>0</x:v>
      </x:c>
      <x:c r="AQ139" s="12"/>
      <x:c r="AR139" s="17" t="n">
        <x:v>1</x:v>
      </x:c>
      <x:c r="AS139" s="17" t="n">
        <x:v>0</x:v>
      </x:c>
      <x:c r="AT139" s="17" t="n">
        <x:v>0</x:v>
      </x:c>
      <x:c r="AU139" s="17" t="n">
        <x:v>1</x:v>
      </x:c>
      <x:c r="AV139" s="17" t="n">
        <x:v>0</x:v>
      </x:c>
      <x:c r="AW139" s="17" t="n">
        <x:v>0</x:v>
      </x:c>
      <x:c r="AX139" s="17" t="n">
        <x:v>1</x:v>
      </x:c>
      <x:c r="AY139" s="17" t="n">
        <x:v>0</x:v>
      </x:c>
      <x:c r="AZ139" s="17" t="n">
        <x:v>0</x:v>
      </x:c>
      <x:c r="BA139" s="12"/>
      <x:c r="BB139" s="12" t="str">
        <x:v>prepaid</x:v>
      </x:c>
      <x:c r="BC139" s="12" t="str">
        <x:v>Tiện cho người nhận không cần chuẩn bị tiền.</x:v>
      </x:c>
      <x:c r="BD139" s="12" t="str">
        <x:v>depends_on_benefits</x:v>
      </x:c>
      <x:c r="BE139" s="17" t="n">
        <x:v>1</x:v>
      </x:c>
      <x:c r="BF139" s="17" t="n">
        <x:v>1</x:v>
      </x:c>
      <x:c r="BG139" s="17" t="n">
        <x:v>0</x:v>
      </x:c>
      <x:c r="BH139" s="17" t="n">
        <x:v>0</x:v>
      </x:c>
      <x:c r="BI139" s="17" t="n">
        <x:v>0</x:v>
      </x:c>
      <x:c r="BJ139" s="17" t="n">
        <x:v>1</x:v>
      </x:c>
      <x:c r="BK139" s="17" t="n">
        <x:v>1</x:v>
      </x:c>
      <x:c r="BL139" s="12" t="str">
        <x:v>fairly_willing</x:v>
      </x:c>
      <x:c r="BM139" s="12" t="str">
        <x:v>Cho xem ảnh mặt trước, sau và chi tiết đường may.</x:v>
      </x:c>
    </x:row>
    <x:row r="140" ht="64" customHeight="1">
      <x:c r="A140" s="11" t="str">
        <x:v>SYN-PH-135</x:v>
      </x:c>
      <x:c r="B140" s="11" t="str">
        <x:v>SYN</x:v>
      </x:c>
      <x:c r="C140" s="11" t="str">
        <x:v>N7</x:v>
      </x:c>
      <x:c r="D140" s="14" t="n">
        <x:v>4.1</x:v>
      </x:c>
      <x:c r="E140" s="16" t="n">
        <x:v>1</x:v>
      </x:c>
      <x:c r="F140" s="16" t="n">
        <x:v>0</x:v>
      </x:c>
      <x:c r="G140" s="11" t="str">
        <x:v>excluded</x:v>
      </x:c>
      <x:c r="H140" s="11" t="str">
        <x:v>incomplete</x:v>
      </x:c>
      <x:c r="I140" s="11"/>
      <x:c r="J140" s="11" t="str">
        <x:v>yes</x:v>
      </x:c>
      <x:c r="K140" s="11" t="str">
        <x:v>age_25_34</x:v>
      </x:c>
      <x:c r="L140" s="11" t="str">
        <x:v>yes</x:v>
      </x:c>
      <x:c r="M140" s="11" t="str">
        <x:v>hcm</x:v>
      </x:c>
      <x:c r="N140" s="11" t="str">
        <x:v>monthly_2_3</x:v>
      </x:c>
      <x:c r="O140" s="16" t="n">
        <x:v>1</x:v>
      </x:c>
      <x:c r="P140" s="16" t="n">
        <x:v>0</x:v>
      </x:c>
      <x:c r="Q140" s="16" t="n">
        <x:v>0</x:v>
      </x:c>
      <x:c r="R140" s="16" t="n">
        <x:v>1</x:v>
      </x:c>
      <x:c r="S140" s="16" t="n">
        <x:v>0</x:v>
      </x:c>
      <x:c r="T140" s="11"/>
      <x:c r="U140" s="11" t="str">
        <x:v>v800k_1199k</x:v>
      </x:c>
      <x:c r="V140" s="16" t="n">
        <x:v>1</x:v>
      </x:c>
      <x:c r="W140" s="16" t="n">
        <x:v>1</x:v>
      </x:c>
      <x:c r="X140" s="16" t="n">
        <x:v>0</x:v>
      </x:c>
      <x:c r="Y140" s="16" t="n">
        <x:v>0</x:v>
      </x:c>
      <x:c r="Z140" s="16" t="n">
        <x:v>1</x:v>
      </x:c>
      <x:c r="AA140" s="16" t="n">
        <x:v>0</x:v>
      </x:c>
      <x:c r="AB140" s="16" t="n">
        <x:v>0</x:v>
      </x:c>
      <x:c r="AC140" s="16" t="n">
        <x:v>0</x:v>
      </x:c>
      <x:c r="AD140" s="16" t="n">
        <x:v>0</x:v>
      </x:c>
      <x:c r="AE140" s="11"/>
      <x:c r="AF140" s="11"/>
      <x:c r="AG140" s="11"/>
      <x:c r="AH140" s="11"/>
      <x:c r="AI140" s="16"/>
      <x:c r="AJ140" s="16"/>
      <x:c r="AK140" s="16"/>
      <x:c r="AL140" s="16"/>
      <x:c r="AM140" s="16"/>
      <x:c r="AN140" s="16"/>
      <x:c r="AO140" s="16"/>
      <x:c r="AP140" s="16"/>
      <x:c r="AQ140" s="11"/>
      <x:c r="AR140" s="16"/>
      <x:c r="AS140" s="16"/>
      <x:c r="AT140" s="16"/>
      <x:c r="AU140" s="16"/>
      <x:c r="AV140" s="16"/>
      <x:c r="AW140" s="16"/>
      <x:c r="AX140" s="16"/>
      <x:c r="AY140" s="16"/>
      <x:c r="AZ140" s="16"/>
      <x:c r="BA140" s="11"/>
      <x:c r="BB140" s="11"/>
      <x:c r="BC140" s="11"/>
      <x:c r="BD140" s="11"/>
      <x:c r="BE140" s="16"/>
      <x:c r="BF140" s="16"/>
      <x:c r="BG140" s="16"/>
      <x:c r="BH140" s="16"/>
      <x:c r="BI140" s="16"/>
      <x:c r="BJ140" s="16"/>
      <x:c r="BK140" s="16"/>
      <x:c r="BL140" s="11"/>
      <x:c r="BM140" s="11"/>
    </x:row>
    <x:row r="141" ht="64" customHeight="1">
      <x:c r="A141" s="12" t="str">
        <x:v>SYN-PH-136</x:v>
      </x:c>
      <x:c r="B141" s="12" t="str">
        <x:v>SYN</x:v>
      </x:c>
      <x:c r="C141" s="12" t="str">
        <x:v>N7</x:v>
      </x:c>
      <x:c r="D141" s="15" t="n">
        <x:v>11.3</x:v>
      </x:c>
      <x:c r="E141" s="17" t="n">
        <x:v>1</x:v>
      </x:c>
      <x:c r="F141" s="17" t="n">
        <x:v>1</x:v>
      </x:c>
      <x:c r="G141" s="12" t="str">
        <x:v>valid</x:v>
      </x:c>
      <x:c r="H141" s="12"/>
      <x:c r="I141" s="12"/>
      <x:c r="J141" s="12" t="str">
        <x:v>yes</x:v>
      </x:c>
      <x:c r="K141" s="12" t="str">
        <x:v>age_18_24</x:v>
      </x:c>
      <x:c r="L141" s="12" t="str">
        <x:v>yes</x:v>
      </x:c>
      <x:c r="M141" s="12" t="str">
        <x:v>other_urban</x:v>
      </x:c>
      <x:c r="N141" s="12" t="str">
        <x:v>monthly_2_3</x:v>
      </x:c>
      <x:c r="O141" s="17" t="n">
        <x:v>0</x:v>
      </x:c>
      <x:c r="P141" s="17" t="n">
        <x:v>1</x:v>
      </x:c>
      <x:c r="Q141" s="17" t="n">
        <x:v>1</x:v>
      </x:c>
      <x:c r="R141" s="17" t="n">
        <x:v>0</x:v>
      </x:c>
      <x:c r="S141" s="17" t="n">
        <x:v>0</x:v>
      </x:c>
      <x:c r="T141" s="12"/>
      <x:c r="U141" s="12" t="str">
        <x:v>under_300k</x:v>
      </x:c>
      <x:c r="V141" s="17" t="n">
        <x:v>0</x:v>
      </x:c>
      <x:c r="W141" s="17" t="n">
        <x:v>0</x:v>
      </x:c>
      <x:c r="X141" s="17" t="n">
        <x:v>0</x:v>
      </x:c>
      <x:c r="Y141" s="17" t="n">
        <x:v>0</x:v>
      </x:c>
      <x:c r="Z141" s="17" t="n">
        <x:v>0</x:v>
      </x:c>
      <x:c r="AA141" s="17" t="n">
        <x:v>0</x:v>
      </x:c>
      <x:c r="AB141" s="17" t="n">
        <x:v>0</x:v>
      </x:c>
      <x:c r="AC141" s="17" t="n">
        <x:v>1</x:v>
      </x:c>
      <x:c r="AD141" s="17" t="n">
        <x:v>0</x:v>
      </x:c>
      <x:c r="AE141" s="12"/>
      <x:c r="AF141" s="12"/>
      <x:c r="AG141" s="12"/>
      <x:c r="AH141" s="12" t="str">
        <x:v>no</x:v>
      </x:c>
      <x:c r="AI141" s="17"/>
      <x:c r="AJ141" s="17"/>
      <x:c r="AK141" s="17"/>
      <x:c r="AL141" s="17"/>
      <x:c r="AM141" s="17"/>
      <x:c r="AN141" s="17"/>
      <x:c r="AO141" s="17"/>
      <x:c r="AP141" s="17"/>
      <x:c r="AQ141" s="12"/>
      <x:c r="AR141" s="17" t="n">
        <x:v>0</x:v>
      </x:c>
      <x:c r="AS141" s="17" t="n">
        <x:v>0</x:v>
      </x:c>
      <x:c r="AT141" s="17" t="n">
        <x:v>1</x:v>
      </x:c>
      <x:c r="AU141" s="17" t="n">
        <x:v>1</x:v>
      </x:c>
      <x:c r="AV141" s="17" t="n">
        <x:v>0</x:v>
      </x:c>
      <x:c r="AW141" s="17" t="n">
        <x:v>0</x:v>
      </x:c>
      <x:c r="AX141" s="17" t="n">
        <x:v>0</x:v>
      </x:c>
      <x:c r="AY141" s="17" t="n">
        <x:v>1</x:v>
      </x:c>
      <x:c r="AZ141" s="17" t="n">
        <x:v>0</x:v>
      </x:c>
      <x:c r="BA141" s="12"/>
      <x:c r="BB141" s="12" t="str">
        <x:v>cod</x:v>
      </x:c>
      <x:c r="BC141" s="12" t="str">
        <x:v>Muốn nhận hàng rồi mới thanh toán.</x:v>
      </x:c>
      <x:c r="BD141" s="12" t="str">
        <x:v>guest</x:v>
      </x:c>
      <x:c r="BE141" s="17" t="n">
        <x:v>1</x:v>
      </x:c>
      <x:c r="BF141" s="17" t="n">
        <x:v>0</x:v>
      </x:c>
      <x:c r="BG141" s="17" t="n">
        <x:v>1</x:v>
      </x:c>
      <x:c r="BH141" s="17" t="n">
        <x:v>1</x:v>
      </x:c>
      <x:c r="BI141" s="17" t="n">
        <x:v>0</x:v>
      </x:c>
      <x:c r="BJ141" s="17" t="n">
        <x:v>0</x:v>
      </x:c>
      <x:c r="BK141" s="17" t="n">
        <x:v>1</x:v>
      </x:c>
      <x:c r="BL141" s="12" t="str">
        <x:v>fairly_willing</x:v>
      </x:c>
      <x:c r="BM141" s="12" t="str">
        <x:v>Cho lưu sản phẩm yêu thích để xem lại.</x:v>
      </x:c>
    </x:row>
    <x:row r="142" ht="64" customHeight="1">
      <x:c r="A142" s="11" t="str">
        <x:v>SYN-PH-137</x:v>
      </x:c>
      <x:c r="B142" s="11" t="str">
        <x:v>SYN</x:v>
      </x:c>
      <x:c r="C142" s="11" t="str">
        <x:v>N7</x:v>
      </x:c>
      <x:c r="D142" s="14" t="n">
        <x:v>10.4</x:v>
      </x:c>
      <x:c r="E142" s="16" t="n">
        <x:v>1</x:v>
      </x:c>
      <x:c r="F142" s="16" t="n">
        <x:v>1</x:v>
      </x:c>
      <x:c r="G142" s="11" t="str">
        <x:v>valid</x:v>
      </x:c>
      <x:c r="H142" s="11"/>
      <x:c r="I142" s="11"/>
      <x:c r="J142" s="11" t="str">
        <x:v>yes</x:v>
      </x:c>
      <x:c r="K142" s="11" t="str">
        <x:v>age_25_34</x:v>
      </x:c>
      <x:c r="L142" s="11" t="str">
        <x:v>yes</x:v>
      </x:c>
      <x:c r="M142" s="11" t="str">
        <x:v>nonurban</x:v>
      </x:c>
      <x:c r="N142" s="11" t="str">
        <x:v>monthly_2_3</x:v>
      </x:c>
      <x:c r="O142" s="16" t="n">
        <x:v>1</x:v>
      </x:c>
      <x:c r="P142" s="16" t="n">
        <x:v>0</x:v>
      </x:c>
      <x:c r="Q142" s="16" t="n">
        <x:v>1</x:v>
      </x:c>
      <x:c r="R142" s="16" t="n">
        <x:v>0</x:v>
      </x:c>
      <x:c r="S142" s="16" t="n">
        <x:v>0</x:v>
      </x:c>
      <x:c r="T142" s="11"/>
      <x:c r="U142" s="11" t="str">
        <x:v>v500k_799k</x:v>
      </x:c>
      <x:c r="V142" s="16" t="n">
        <x:v>1</x:v>
      </x:c>
      <x:c r="W142" s="16" t="n">
        <x:v>1</x:v>
      </x:c>
      <x:c r="X142" s="16" t="n">
        <x:v>1</x:v>
      </x:c>
      <x:c r="Y142" s="16" t="n">
        <x:v>1</x:v>
      </x:c>
      <x:c r="Z142" s="16" t="n">
        <x:v>0</x:v>
      </x:c>
      <x:c r="AA142" s="16" t="n">
        <x:v>1</x:v>
      </x:c>
      <x:c r="AB142" s="16" t="n">
        <x:v>0</x:v>
      </x:c>
      <x:c r="AC142" s="16" t="n">
        <x:v>0</x:v>
      </x:c>
      <x:c r="AD142" s="16" t="n">
        <x:v>0</x:v>
      </x:c>
      <x:c r="AE142" s="11"/>
      <x:c r="AF142" s="11" t="str">
        <x:v>late_total</x:v>
      </x:c>
      <x:c r="AG142" s="11" t="str">
        <x:v>Phí giao chỉ hiện ở bước xác nhận cuối.</x:v>
      </x:c>
      <x:c r="AH142" s="11" t="str">
        <x:v>yes</x:v>
      </x:c>
      <x:c r="AI142" s="16" t="n">
        <x:v>0</x:v>
      </x:c>
      <x:c r="AJ142" s="16" t="n">
        <x:v>1</x:v>
      </x:c>
      <x:c r="AK142" s="16" t="n">
        <x:v>0</x:v>
      </x:c>
      <x:c r="AL142" s="16" t="n">
        <x:v>0</x:v>
      </x:c>
      <x:c r="AM142" s="16" t="n">
        <x:v>0</x:v>
      </x:c>
      <x:c r="AN142" s="16" t="n">
        <x:v>0</x:v>
      </x:c>
      <x:c r="AO142" s="16" t="n">
        <x:v>0</x:v>
      </x:c>
      <x:c r="AP142" s="16" t="n">
        <x:v>0</x:v>
      </x:c>
      <x:c r="AQ142" s="11"/>
      <x:c r="AR142" s="16" t="n">
        <x:v>1</x:v>
      </x:c>
      <x:c r="AS142" s="16" t="n">
        <x:v>0</x:v>
      </x:c>
      <x:c r="AT142" s="16" t="n">
        <x:v>0</x:v>
      </x:c>
      <x:c r="AU142" s="16" t="n">
        <x:v>0</x:v>
      </x:c>
      <x:c r="AV142" s="16" t="n">
        <x:v>1</x:v>
      </x:c>
      <x:c r="AW142" s="16" t="n">
        <x:v>0</x:v>
      </x:c>
      <x:c r="AX142" s="16" t="n">
        <x:v>0</x:v>
      </x:c>
      <x:c r="AY142" s="16" t="n">
        <x:v>0</x:v>
      </x:c>
      <x:c r="AZ142" s="16" t="n">
        <x:v>0</x:v>
      </x:c>
      <x:c r="BA142" s="11"/>
      <x:c r="BB142" s="11" t="str">
        <x:v>cod</x:v>
      </x:c>
      <x:c r="BC142" s="11" t="str">
        <x:v>Thuận tiện với cách nhận hàng gần đây.</x:v>
      </x:c>
      <x:c r="BD142" s="11" t="str">
        <x:v>depends_on_benefits</x:v>
      </x:c>
      <x:c r="BE142" s="16" t="n">
        <x:v>1</x:v>
      </x:c>
      <x:c r="BF142" s="16" t="n">
        <x:v>1</x:v>
      </x:c>
      <x:c r="BG142" s="16" t="n">
        <x:v>1</x:v>
      </x:c>
      <x:c r="BH142" s="16" t="n">
        <x:v>1</x:v>
      </x:c>
      <x:c r="BI142" s="16" t="n">
        <x:v>0</x:v>
      </x:c>
      <x:c r="BJ142" s="16" t="n">
        <x:v>1</x:v>
      </x:c>
      <x:c r="BK142" s="16" t="n">
        <x:v>1</x:v>
      </x:c>
      <x:c r="BL142" s="11" t="str">
        <x:v>fairly_willing</x:v>
      </x:c>
      <x:c r="BM142" s="11" t="str">
        <x:v>Hiển thị tổng tiền gồm phí giao trước khi xác nhận.</x:v>
      </x:c>
    </x:row>
    <x:row r="143" ht="64" customHeight="1">
      <x:c r="A143" s="12" t="str">
        <x:v>SYN-PH-138</x:v>
      </x:c>
      <x:c r="B143" s="12" t="str">
        <x:v>SYN</x:v>
      </x:c>
      <x:c r="C143" s="12" t="str">
        <x:v>N7</x:v>
      </x:c>
      <x:c r="D143" s="15" t="n">
        <x:v>8.6</x:v>
      </x:c>
      <x:c r="E143" s="17" t="n">
        <x:v>1</x:v>
      </x:c>
      <x:c r="F143" s="17" t="n">
        <x:v>1</x:v>
      </x:c>
      <x:c r="G143" s="12" t="str">
        <x:v>valid</x:v>
      </x:c>
      <x:c r="H143" s="12"/>
      <x:c r="I143" s="12"/>
      <x:c r="J143" s="12" t="str">
        <x:v>yes</x:v>
      </x:c>
      <x:c r="K143" s="12" t="str">
        <x:v>age_35_44</x:v>
      </x:c>
      <x:c r="L143" s="12" t="str">
        <x:v>yes</x:v>
      </x:c>
      <x:c r="M143" s="12" t="str">
        <x:v>hcm</x:v>
      </x:c>
      <x:c r="N143" s="12" t="str">
        <x:v>every_2_3_months</x:v>
      </x:c>
      <x:c r="O143" s="17" t="n">
        <x:v>1</x:v>
      </x:c>
      <x:c r="P143" s="17" t="n">
        <x:v>0</x:v>
      </x:c>
      <x:c r="Q143" s="17" t="n">
        <x:v>0</x:v>
      </x:c>
      <x:c r="R143" s="17" t="n">
        <x:v>0</x:v>
      </x:c>
      <x:c r="S143" s="17" t="n">
        <x:v>0</x:v>
      </x:c>
      <x:c r="T143" s="12"/>
      <x:c r="U143" s="12" t="str">
        <x:v>v800k_1199k</x:v>
      </x:c>
      <x:c r="V143" s="17" t="n">
        <x:v>1</x:v>
      </x:c>
      <x:c r="W143" s="17" t="n">
        <x:v>0</x:v>
      </x:c>
      <x:c r="X143" s="17" t="n">
        <x:v>0</x:v>
      </x:c>
      <x:c r="Y143" s="17" t="n">
        <x:v>0</x:v>
      </x:c>
      <x:c r="Z143" s="17" t="n">
        <x:v>0</x:v>
      </x:c>
      <x:c r="AA143" s="17" t="n">
        <x:v>0</x:v>
      </x:c>
      <x:c r="AB143" s="17" t="n">
        <x:v>0</x:v>
      </x:c>
      <x:c r="AC143" s="17" t="n">
        <x:v>0</x:v>
      </x:c>
      <x:c r="AD143" s="17" t="n">
        <x:v>0</x:v>
      </x:c>
      <x:c r="AE143" s="12"/>
      <x:c r="AF143" s="12" t="str">
        <x:v>size_uncertain</x:v>
      </x:c>
      <x:c r="AG143" s="12" t="str">
        <x:v>Bảng size chỉ có S/M/L nên khó so với số đo áo đang mặc.</x:v>
      </x:c>
      <x:c r="AH143" s="12" t="str">
        <x:v>no</x:v>
      </x:c>
      <x:c r="AI143" s="17"/>
      <x:c r="AJ143" s="17"/>
      <x:c r="AK143" s="17"/>
      <x:c r="AL143" s="17"/>
      <x:c r="AM143" s="17"/>
      <x:c r="AN143" s="17"/>
      <x:c r="AO143" s="17"/>
      <x:c r="AP143" s="17"/>
      <x:c r="AQ143" s="12"/>
      <x:c r="AR143" s="17" t="n">
        <x:v>0</x:v>
      </x:c>
      <x:c r="AS143" s="17" t="n">
        <x:v>1</x:v>
      </x:c>
      <x:c r="AT143" s="17" t="n">
        <x:v>0</x:v>
      </x:c>
      <x:c r="AU143" s="17" t="n">
        <x:v>0</x:v>
      </x:c>
      <x:c r="AV143" s="17" t="n">
        <x:v>1</x:v>
      </x:c>
      <x:c r="AW143" s="17" t="n">
        <x:v>0</x:v>
      </x:c>
      <x:c r="AX143" s="17" t="n">
        <x:v>0</x:v>
      </x:c>
      <x:c r="AY143" s="17" t="n">
        <x:v>1</x:v>
      </x:c>
      <x:c r="AZ143" s="17" t="n">
        <x:v>0</x:v>
      </x:c>
      <x:c r="BA143" s="12"/>
      <x:c r="BB143" s="12" t="str">
        <x:v>cod</x:v>
      </x:c>
      <x:c r="BC143" s="12" t="str">
        <x:v>Thuận tiện với cách nhận hàng gần đây.</x:v>
      </x:c>
      <x:c r="BD143" s="12" t="str">
        <x:v>depends_on_benefits</x:v>
      </x:c>
      <x:c r="BE143" s="17" t="n">
        <x:v>1</x:v>
      </x:c>
      <x:c r="BF143" s="17" t="n">
        <x:v>1</x:v>
      </x:c>
      <x:c r="BG143" s="17" t="n">
        <x:v>1</x:v>
      </x:c>
      <x:c r="BH143" s="17" t="n">
        <x:v>1</x:v>
      </x:c>
      <x:c r="BI143" s="17" t="n">
        <x:v>1</x:v>
      </x:c>
      <x:c r="BJ143" s="17" t="n">
        <x:v>1</x:v>
      </x:c>
      <x:c r="BK143" s="17" t="n">
        <x:v>1</x:v>
      </x:c>
      <x:c r="BL143" s="12" t="str">
        <x:v>less_willing</x:v>
      </x:c>
      <x:c r="BM143" s="12" t="str">
        <x:v>So sánh size giữa các mẫu quần áo.</x:v>
      </x:c>
    </x:row>
    <x:row r="144" ht="64" customHeight="1">
      <x:c r="A144" s="11" t="str">
        <x:v>SYN-PH-139</x:v>
      </x:c>
      <x:c r="B144" s="11" t="str">
        <x:v>SYN</x:v>
      </x:c>
      <x:c r="C144" s="11" t="str">
        <x:v>N7</x:v>
      </x:c>
      <x:c r="D144" s="14" t="n">
        <x:v>10.9</x:v>
      </x:c>
      <x:c r="E144" s="16" t="n">
        <x:v>1</x:v>
      </x:c>
      <x:c r="F144" s="16" t="n">
        <x:v>1</x:v>
      </x:c>
      <x:c r="G144" s="11" t="str">
        <x:v>valid</x:v>
      </x:c>
      <x:c r="H144" s="11"/>
      <x:c r="I144" s="11"/>
      <x:c r="J144" s="11" t="str">
        <x:v>yes</x:v>
      </x:c>
      <x:c r="K144" s="11" t="str">
        <x:v>age_18_24</x:v>
      </x:c>
      <x:c r="L144" s="11" t="str">
        <x:v>yes</x:v>
      </x:c>
      <x:c r="M144" s="11" t="str">
        <x:v>hcm</x:v>
      </x:c>
      <x:c r="N144" s="11" t="str">
        <x:v>weekly</x:v>
      </x:c>
      <x:c r="O144" s="16" t="n">
        <x:v>1</x:v>
      </x:c>
      <x:c r="P144" s="16" t="n">
        <x:v>0</x:v>
      </x:c>
      <x:c r="Q144" s="16" t="n">
        <x:v>0</x:v>
      </x:c>
      <x:c r="R144" s="16" t="n">
        <x:v>1</x:v>
      </x:c>
      <x:c r="S144" s="16" t="n">
        <x:v>0</x:v>
      </x:c>
      <x:c r="T144" s="11"/>
      <x:c r="U144" s="11" t="str">
        <x:v>v300k_499k</x:v>
      </x:c>
      <x:c r="V144" s="16" t="n">
        <x:v>0</x:v>
      </x:c>
      <x:c r="W144" s="16" t="n">
        <x:v>1</x:v>
      </x:c>
      <x:c r="X144" s="16" t="n">
        <x:v>0</x:v>
      </x:c>
      <x:c r="Y144" s="16" t="n">
        <x:v>0</x:v>
      </x:c>
      <x:c r="Z144" s="16" t="n">
        <x:v>1</x:v>
      </x:c>
      <x:c r="AA144" s="16" t="n">
        <x:v>0</x:v>
      </x:c>
      <x:c r="AB144" s="16" t="n">
        <x:v>1</x:v>
      </x:c>
      <x:c r="AC144" s="16" t="n">
        <x:v>0</x:v>
      </x:c>
      <x:c r="AD144" s="16" t="n">
        <x:v>0</x:v>
      </x:c>
      <x:c r="AE144" s="11"/>
      <x:c r="AF144" s="11" t="str">
        <x:v>photo_mismatch</x:v>
      </x:c>
      <x:c r="AG144" s="11" t="str">
        <x:v>Màu trong ảnh và mô tả thiếu thông tin dưới ánh sáng thường.</x:v>
      </x:c>
      <x:c r="AH144" s="11" t="str">
        <x:v>no</x:v>
      </x:c>
      <x:c r="AI144" s="16"/>
      <x:c r="AJ144" s="16"/>
      <x:c r="AK144" s="16"/>
      <x:c r="AL144" s="16"/>
      <x:c r="AM144" s="16"/>
      <x:c r="AN144" s="16"/>
      <x:c r="AO144" s="16"/>
      <x:c r="AP144" s="16"/>
      <x:c r="AQ144" s="11"/>
      <x:c r="AR144" s="16" t="n">
        <x:v>0</x:v>
      </x:c>
      <x:c r="AS144" s="16" t="n">
        <x:v>1</x:v>
      </x:c>
      <x:c r="AT144" s="16" t="n">
        <x:v>0</x:v>
      </x:c>
      <x:c r="AU144" s="16" t="n">
        <x:v>0</x:v>
      </x:c>
      <x:c r="AV144" s="16" t="n">
        <x:v>0</x:v>
      </x:c>
      <x:c r="AW144" s="16" t="n">
        <x:v>1</x:v>
      </x:c>
      <x:c r="AX144" s="16" t="n">
        <x:v>0</x:v>
      </x:c>
      <x:c r="AY144" s="16" t="n">
        <x:v>1</x:v>
      </x:c>
      <x:c r="AZ144" s="16" t="n">
        <x:v>0</x:v>
      </x:c>
      <x:c r="BA144" s="11"/>
      <x:c r="BB144" s="11" t="str">
        <x:v>cod</x:v>
      </x:c>
      <x:c r="BC144" s="11" t="str">
        <x:v>Thuận tiện với cách nhận hàng gần đây.</x:v>
      </x:c>
      <x:c r="BD144" s="11" t="str">
        <x:v>depends_on_benefits</x:v>
      </x:c>
      <x:c r="BE144" s="16" t="n">
        <x:v>1</x:v>
      </x:c>
      <x:c r="BF144" s="16" t="n">
        <x:v>1</x:v>
      </x:c>
      <x:c r="BG144" s="16" t="n">
        <x:v>0</x:v>
      </x:c>
      <x:c r="BH144" s="16" t="n">
        <x:v>1</x:v>
      </x:c>
      <x:c r="BI144" s="16" t="n">
        <x:v>0</x:v>
      </x:c>
      <x:c r="BJ144" s="16" t="n">
        <x:v>0</x:v>
      </x:c>
      <x:c r="BK144" s="16" t="n">
        <x:v>1</x:v>
      </x:c>
      <x:c r="BL144" s="11" t="str">
        <x:v>very_willing</x:v>
      </x:c>
      <x:c r="BM144" s="11" t="str">
        <x:v>Cho xem ảnh mặt trước, sau và chi tiết đường may.</x:v>
      </x:c>
    </x:row>
    <x:row r="145" ht="64" customHeight="1">
      <x:c r="A145" s="12" t="str">
        <x:v>SYN-PH-140</x:v>
      </x:c>
      <x:c r="B145" s="12" t="str">
        <x:v>SYN</x:v>
      </x:c>
      <x:c r="C145" s="12" t="str">
        <x:v>N7</x:v>
      </x:c>
      <x:c r="D145" s="15" t="n">
        <x:v>9</x:v>
      </x:c>
      <x:c r="E145" s="17" t="n">
        <x:v>1</x:v>
      </x:c>
      <x:c r="F145" s="17" t="n">
        <x:v>1</x:v>
      </x:c>
      <x:c r="G145" s="12" t="str">
        <x:v>valid</x:v>
      </x:c>
      <x:c r="H145" s="12"/>
      <x:c r="I145" s="12"/>
      <x:c r="J145" s="12" t="str">
        <x:v>yes</x:v>
      </x:c>
      <x:c r="K145" s="12" t="str">
        <x:v>age_18_24</x:v>
      </x:c>
      <x:c r="L145" s="12" t="str">
        <x:v>yes</x:v>
      </x:c>
      <x:c r="M145" s="12" t="str">
        <x:v>hanoi</x:v>
      </x:c>
      <x:c r="N145" s="12" t="str">
        <x:v>monthly_2_3</x:v>
      </x:c>
      <x:c r="O145" s="17" t="n">
        <x:v>0</x:v>
      </x:c>
      <x:c r="P145" s="17" t="n">
        <x:v>0</x:v>
      </x:c>
      <x:c r="Q145" s="17" t="n">
        <x:v>1</x:v>
      </x:c>
      <x:c r="R145" s="17" t="n">
        <x:v>0</x:v>
      </x:c>
      <x:c r="S145" s="17" t="n">
        <x:v>1</x:v>
      </x:c>
      <x:c r="T145" s="12" t="str">
        <x:v>Danh mục bán hàng trong cộng đồng sở thích</x:v>
      </x:c>
      <x:c r="U145" s="12" t="str">
        <x:v>under_300k</x:v>
      </x:c>
      <x:c r="V145" s="17" t="n">
        <x:v>1</x:v>
      </x:c>
      <x:c r="W145" s="17" t="n">
        <x:v>1</x:v>
      </x:c>
      <x:c r="X145" s="17" t="n">
        <x:v>0</x:v>
      </x:c>
      <x:c r="Y145" s="17" t="n">
        <x:v>0</x:v>
      </x:c>
      <x:c r="Z145" s="17" t="n">
        <x:v>1</x:v>
      </x:c>
      <x:c r="AA145" s="17" t="n">
        <x:v>0</x:v>
      </x:c>
      <x:c r="AB145" s="17" t="n">
        <x:v>0</x:v>
      </x:c>
      <x:c r="AC145" s="17" t="n">
        <x:v>0</x:v>
      </x:c>
      <x:c r="AD145" s="17" t="n">
        <x:v>0</x:v>
      </x:c>
      <x:c r="AE145" s="12"/>
      <x:c r="AF145" s="12" t="str">
        <x:v>photo_mismatch</x:v>
      </x:c>
      <x:c r="AG145" s="12" t="str">
        <x:v>Màu trong ảnh và mô tả thiếu thông tin dưới ánh sáng thường.</x:v>
      </x:c>
      <x:c r="AH145" s="12" t="str">
        <x:v>yes</x:v>
      </x:c>
      <x:c r="AI145" s="17" t="n">
        <x:v>0</x:v>
      </x:c>
      <x:c r="AJ145" s="17" t="n">
        <x:v>1</x:v>
      </x:c>
      <x:c r="AK145" s="17" t="n">
        <x:v>1</x:v>
      </x:c>
      <x:c r="AL145" s="17" t="n">
        <x:v>0</x:v>
      </x:c>
      <x:c r="AM145" s="17" t="n">
        <x:v>0</x:v>
      </x:c>
      <x:c r="AN145" s="17" t="n">
        <x:v>0</x:v>
      </x:c>
      <x:c r="AO145" s="17" t="n">
        <x:v>1</x:v>
      </x:c>
      <x:c r="AP145" s="17" t="n">
        <x:v>0</x:v>
      </x:c>
      <x:c r="AQ145" s="12"/>
      <x:c r="AR145" s="17" t="n">
        <x:v>0</x:v>
      </x:c>
      <x:c r="AS145" s="17" t="n">
        <x:v>1</x:v>
      </x:c>
      <x:c r="AT145" s="17" t="n">
        <x:v>1</x:v>
      </x:c>
      <x:c r="AU145" s="17" t="n">
        <x:v>0</x:v>
      </x:c>
      <x:c r="AV145" s="17" t="n">
        <x:v>0</x:v>
      </x:c>
      <x:c r="AW145" s="17" t="n">
        <x:v>0</x:v>
      </x:c>
      <x:c r="AX145" s="17" t="n">
        <x:v>1</x:v>
      </x:c>
      <x:c r="AY145" s="17" t="n">
        <x:v>0</x:v>
      </x:c>
      <x:c r="AZ145" s="17" t="n">
        <x:v>0</x:v>
      </x:c>
      <x:c r="BA145" s="12"/>
      <x:c r="BB145" s="12" t="str">
        <x:v>cod</x:v>
      </x:c>
      <x:c r="BC145" s="12" t="str">
        <x:v>Quen thanh toán lúc giao hàng.</x:v>
      </x:c>
      <x:c r="BD145" s="12" t="str">
        <x:v>guest</x:v>
      </x:c>
      <x:c r="BE145" s="17" t="n">
        <x:v>1</x:v>
      </x:c>
      <x:c r="BF145" s="17" t="n">
        <x:v>1</x:v>
      </x:c>
      <x:c r="BG145" s="17" t="n">
        <x:v>1</x:v>
      </x:c>
      <x:c r="BH145" s="17" t="n">
        <x:v>1</x:v>
      </x:c>
      <x:c r="BI145" s="17" t="n">
        <x:v>1</x:v>
      </x:c>
      <x:c r="BJ145" s="17" t="n">
        <x:v>0</x:v>
      </x:c>
      <x:c r="BK145" s="17" t="n">
        <x:v>0</x:v>
      </x:c>
      <x:c r="BL145" s="12" t="str">
        <x:v>unwilling</x:v>
      </x:c>
      <x:c r="BM145" s="12" t="str">
        <x:v>Cho xem ảnh mặt trước, sau và chi tiết đường may.</x:v>
      </x:c>
    </x:row>
    <x:row r="146" ht="64" customHeight="1">
      <x:c r="A146" s="11" t="str">
        <x:v>SYN-PH-141</x:v>
      </x:c>
      <x:c r="B146" s="11" t="str">
        <x:v>SYN</x:v>
      </x:c>
      <x:c r="C146" s="11" t="str">
        <x:v>N7</x:v>
      </x:c>
      <x:c r="D146" s="14" t="n">
        <x:v>1.5</x:v>
      </x:c>
      <x:c r="E146" s="16" t="n">
        <x:v>0</x:v>
      </x:c>
      <x:c r="F146" s="16" t="n">
        <x:v>0</x:v>
      </x:c>
      <x:c r="G146" s="11" t="str">
        <x:v>excluded</x:v>
      </x:c>
      <x:c r="H146" s="11" t="str">
        <x:v>no_recent_purchase</x:v>
      </x:c>
      <x:c r="I146" s="11"/>
      <x:c r="J146" s="11" t="str">
        <x:v>yes</x:v>
      </x:c>
      <x:c r="K146" s="11" t="str">
        <x:v>age_35_44</x:v>
      </x:c>
      <x:c r="L146" s="11" t="str">
        <x:v>no</x:v>
      </x:c>
      <x:c r="M146" s="11"/>
      <x:c r="N146" s="11"/>
      <x:c r="O146" s="16"/>
      <x:c r="P146" s="16"/>
      <x:c r="Q146" s="16"/>
      <x:c r="R146" s="16"/>
      <x:c r="S146" s="16"/>
      <x:c r="T146" s="11"/>
      <x:c r="U146" s="11"/>
      <x:c r="V146" s="16"/>
      <x:c r="W146" s="16"/>
      <x:c r="X146" s="16"/>
      <x:c r="Y146" s="16"/>
      <x:c r="Z146" s="16"/>
      <x:c r="AA146" s="16"/>
      <x:c r="AB146" s="16"/>
      <x:c r="AC146" s="16"/>
      <x:c r="AD146" s="16"/>
      <x:c r="AE146" s="11"/>
      <x:c r="AF146" s="11"/>
      <x:c r="AG146" s="11"/>
      <x:c r="AH146" s="11"/>
      <x:c r="AI146" s="16"/>
      <x:c r="AJ146" s="16"/>
      <x:c r="AK146" s="16"/>
      <x:c r="AL146" s="16"/>
      <x:c r="AM146" s="16"/>
      <x:c r="AN146" s="16"/>
      <x:c r="AO146" s="16"/>
      <x:c r="AP146" s="16"/>
      <x:c r="AQ146" s="11"/>
      <x:c r="AR146" s="16"/>
      <x:c r="AS146" s="16"/>
      <x:c r="AT146" s="16"/>
      <x:c r="AU146" s="16"/>
      <x:c r="AV146" s="16"/>
      <x:c r="AW146" s="16"/>
      <x:c r="AX146" s="16"/>
      <x:c r="AY146" s="16"/>
      <x:c r="AZ146" s="16"/>
      <x:c r="BA146" s="11"/>
      <x:c r="BB146" s="11"/>
      <x:c r="BC146" s="11"/>
      <x:c r="BD146" s="11"/>
      <x:c r="BE146" s="16"/>
      <x:c r="BF146" s="16"/>
      <x:c r="BG146" s="16"/>
      <x:c r="BH146" s="16"/>
      <x:c r="BI146" s="16"/>
      <x:c r="BJ146" s="16"/>
      <x:c r="BK146" s="16"/>
      <x:c r="BL146" s="11"/>
      <x:c r="BM146" s="11"/>
    </x:row>
    <x:row r="147" ht="64" customHeight="1">
      <x:c r="A147" s="12" t="str">
        <x:v>SYN-PH-142</x:v>
      </x:c>
      <x:c r="B147" s="12" t="str">
        <x:v>SYN</x:v>
      </x:c>
      <x:c r="C147" s="12" t="str">
        <x:v>N7</x:v>
      </x:c>
      <x:c r="D147" s="15" t="n">
        <x:v>9</x:v>
      </x:c>
      <x:c r="E147" s="17" t="n">
        <x:v>1</x:v>
      </x:c>
      <x:c r="F147" s="17" t="n">
        <x:v>1</x:v>
      </x:c>
      <x:c r="G147" s="12" t="str">
        <x:v>valid</x:v>
      </x:c>
      <x:c r="H147" s="12"/>
      <x:c r="I147" s="12"/>
      <x:c r="J147" s="12" t="str">
        <x:v>yes</x:v>
      </x:c>
      <x:c r="K147" s="12" t="str">
        <x:v>age_35_44</x:v>
      </x:c>
      <x:c r="L147" s="12" t="str">
        <x:v>yes</x:v>
      </x:c>
      <x:c r="M147" s="12" t="str">
        <x:v>hanoi</x:v>
      </x:c>
      <x:c r="N147" s="12" t="str">
        <x:v>monthly</x:v>
      </x:c>
      <x:c r="O147" s="17" t="n">
        <x:v>1</x:v>
      </x:c>
      <x:c r="P147" s="17" t="n">
        <x:v>1</x:v>
      </x:c>
      <x:c r="Q147" s="17" t="n">
        <x:v>1</x:v>
      </x:c>
      <x:c r="R147" s="17" t="n">
        <x:v>0</x:v>
      </x:c>
      <x:c r="S147" s="17" t="n">
        <x:v>0</x:v>
      </x:c>
      <x:c r="T147" s="12"/>
      <x:c r="U147" s="12" t="str">
        <x:v>v300k_499k</x:v>
      </x:c>
      <x:c r="V147" s="17" t="n">
        <x:v>0</x:v>
      </x:c>
      <x:c r="W147" s="17" t="n">
        <x:v>0</x:v>
      </x:c>
      <x:c r="X147" s="17" t="n">
        <x:v>1</x:v>
      </x:c>
      <x:c r="Y147" s="17" t="n">
        <x:v>1</x:v>
      </x:c>
      <x:c r="Z147" s="17" t="n">
        <x:v>1</x:v>
      </x:c>
      <x:c r="AA147" s="17" t="n">
        <x:v>1</x:v>
      </x:c>
      <x:c r="AB147" s="17" t="n">
        <x:v>1</x:v>
      </x:c>
      <x:c r="AC147" s="17" t="n">
        <x:v>0</x:v>
      </x:c>
      <x:c r="AD147" s="17" t="n">
        <x:v>0</x:v>
      </x:c>
      <x:c r="AE147" s="12"/>
      <x:c r="AF147" s="12" t="str">
        <x:v>stock_unclear</x:v>
      </x:c>
      <x:c r="AG147" s="12" t="str">
        <x:v>Size còn hiển thị nhưng chỉ báo hết khi đặt.</x:v>
      </x:c>
      <x:c r="AH147" s="12" t="str">
        <x:v>yes</x:v>
      </x:c>
      <x:c r="AI147" s="17" t="n">
        <x:v>1</x:v>
      </x:c>
      <x:c r="AJ147" s="17" t="n">
        <x:v>0</x:v>
      </x:c>
      <x:c r="AK147" s="17" t="n">
        <x:v>0</x:v>
      </x:c>
      <x:c r="AL147" s="17" t="n">
        <x:v>1</x:v>
      </x:c>
      <x:c r="AM147" s="17" t="n">
        <x:v>1</x:v>
      </x:c>
      <x:c r="AN147" s="17" t="n">
        <x:v>0</x:v>
      </x:c>
      <x:c r="AO147" s="17" t="n">
        <x:v>0</x:v>
      </x:c>
      <x:c r="AP147" s="17" t="n">
        <x:v>0</x:v>
      </x:c>
      <x:c r="AQ147" s="12"/>
      <x:c r="AR147" s="17" t="n">
        <x:v>0</x:v>
      </x:c>
      <x:c r="AS147" s="17" t="n">
        <x:v>1</x:v>
      </x:c>
      <x:c r="AT147" s="17" t="n">
        <x:v>1</x:v>
      </x:c>
      <x:c r="AU147" s="17" t="n">
        <x:v>1</x:v>
      </x:c>
      <x:c r="AV147" s="17" t="n">
        <x:v>0</x:v>
      </x:c>
      <x:c r="AW147" s="17" t="n">
        <x:v>0</x:v>
      </x:c>
      <x:c r="AX147" s="17" t="n">
        <x:v>0</x:v>
      </x:c>
      <x:c r="AY147" s="17" t="n">
        <x:v>0</x:v>
      </x:c>
      <x:c r="AZ147" s="17" t="n">
        <x:v>0</x:v>
      </x:c>
      <x:c r="BA147" s="12"/>
      <x:c r="BB147" s="12" t="str">
        <x:v>cod</x:v>
      </x:c>
      <x:c r="BC147" s="12" t="str">
        <x:v>Quen thanh toán lúc giao hàng.</x:v>
      </x:c>
      <x:c r="BD147" s="12" t="str">
        <x:v>guest</x:v>
      </x:c>
      <x:c r="BE147" s="17" t="n">
        <x:v>1</x:v>
      </x:c>
      <x:c r="BF147" s="17" t="n">
        <x:v>1</x:v>
      </x:c>
      <x:c r="BG147" s="17" t="n">
        <x:v>1</x:v>
      </x:c>
      <x:c r="BH147" s="17" t="n">
        <x:v>1</x:v>
      </x:c>
      <x:c r="BI147" s="17" t="n">
        <x:v>1</x:v>
      </x:c>
      <x:c r="BJ147" s="17" t="n">
        <x:v>1</x:v>
      </x:c>
      <x:c r="BK147" s="17" t="n">
        <x:v>0</x:v>
      </x:c>
      <x:c r="BL147" s="12" t="str">
        <x:v>fairly_willing</x:v>
      </x:c>
      <x:c r="BM147" s="12" t="str">
        <x:v>Hiển thị tồn theo từng size và màu.</x:v>
      </x:c>
    </x:row>
    <x:row r="148" ht="64" customHeight="1">
      <x:c r="A148" s="11" t="str">
        <x:v>SYN-PH-143</x:v>
      </x:c>
      <x:c r="B148" s="11" t="str">
        <x:v>SYN</x:v>
      </x:c>
      <x:c r="C148" s="11" t="str">
        <x:v>N7</x:v>
      </x:c>
      <x:c r="D148" s="14" t="n">
        <x:v>0.8</x:v>
      </x:c>
      <x:c r="E148" s="16" t="n">
        <x:v>0</x:v>
      </x:c>
      <x:c r="F148" s="16" t="n">
        <x:v>0</x:v>
      </x:c>
      <x:c r="G148" s="11" t="str">
        <x:v>excluded</x:v>
      </x:c>
      <x:c r="H148" s="11" t="str">
        <x:v>no_consent</x:v>
      </x:c>
      <x:c r="I148" s="11"/>
      <x:c r="J148" s="11" t="str">
        <x:v>no</x:v>
      </x:c>
      <x:c r="K148" s="11"/>
      <x:c r="L148" s="11"/>
      <x:c r="M148" s="11"/>
      <x:c r="N148" s="11"/>
      <x:c r="O148" s="16"/>
      <x:c r="P148" s="16"/>
      <x:c r="Q148" s="16"/>
      <x:c r="R148" s="16"/>
      <x:c r="S148" s="16"/>
      <x:c r="T148" s="11"/>
      <x:c r="U148" s="11"/>
      <x:c r="V148" s="16"/>
      <x:c r="W148" s="16"/>
      <x:c r="X148" s="16"/>
      <x:c r="Y148" s="16"/>
      <x:c r="Z148" s="16"/>
      <x:c r="AA148" s="16"/>
      <x:c r="AB148" s="16"/>
      <x:c r="AC148" s="16"/>
      <x:c r="AD148" s="16"/>
      <x:c r="AE148" s="11"/>
      <x:c r="AF148" s="11"/>
      <x:c r="AG148" s="11"/>
      <x:c r="AH148" s="11"/>
      <x:c r="AI148" s="16"/>
      <x:c r="AJ148" s="16"/>
      <x:c r="AK148" s="16"/>
      <x:c r="AL148" s="16"/>
      <x:c r="AM148" s="16"/>
      <x:c r="AN148" s="16"/>
      <x:c r="AO148" s="16"/>
      <x:c r="AP148" s="16"/>
      <x:c r="AQ148" s="11"/>
      <x:c r="AR148" s="16"/>
      <x:c r="AS148" s="16"/>
      <x:c r="AT148" s="16"/>
      <x:c r="AU148" s="16"/>
      <x:c r="AV148" s="16"/>
      <x:c r="AW148" s="16"/>
      <x:c r="AX148" s="16"/>
      <x:c r="AY148" s="16"/>
      <x:c r="AZ148" s="16"/>
      <x:c r="BA148" s="11"/>
      <x:c r="BB148" s="11"/>
      <x:c r="BC148" s="11"/>
      <x:c r="BD148" s="11"/>
      <x:c r="BE148" s="16"/>
      <x:c r="BF148" s="16"/>
      <x:c r="BG148" s="16"/>
      <x:c r="BH148" s="16"/>
      <x:c r="BI148" s="16"/>
      <x:c r="BJ148" s="16"/>
      <x:c r="BK148" s="16"/>
      <x:c r="BL148" s="11"/>
      <x:c r="BM148" s="11"/>
    </x:row>
    <x:row r="149" ht="64" customHeight="1">
      <x:c r="A149" s="12" t="str">
        <x:v>SYN-PH-144</x:v>
      </x:c>
      <x:c r="B149" s="12" t="str">
        <x:v>SYN</x:v>
      </x:c>
      <x:c r="C149" s="12" t="str">
        <x:v>N7</x:v>
      </x:c>
      <x:c r="D149" s="15" t="n">
        <x:v>10.8</x:v>
      </x:c>
      <x:c r="E149" s="17" t="n">
        <x:v>1</x:v>
      </x:c>
      <x:c r="F149" s="17" t="n">
        <x:v>1</x:v>
      </x:c>
      <x:c r="G149" s="12" t="str">
        <x:v>valid</x:v>
      </x:c>
      <x:c r="H149" s="12"/>
      <x:c r="I149" s="12"/>
      <x:c r="J149" s="12" t="str">
        <x:v>yes</x:v>
      </x:c>
      <x:c r="K149" s="12" t="str">
        <x:v>age_18_24</x:v>
      </x:c>
      <x:c r="L149" s="12" t="str">
        <x:v>yes</x:v>
      </x:c>
      <x:c r="M149" s="12" t="str">
        <x:v>hcm</x:v>
      </x:c>
      <x:c r="N149" s="12" t="str">
        <x:v>monthly</x:v>
      </x:c>
      <x:c r="O149" s="17" t="n">
        <x:v>1</x:v>
      </x:c>
      <x:c r="P149" s="17" t="n">
        <x:v>1</x:v>
      </x:c>
      <x:c r="Q149" s="17" t="n">
        <x:v>1</x:v>
      </x:c>
      <x:c r="R149" s="17" t="n">
        <x:v>1</x:v>
      </x:c>
      <x:c r="S149" s="17" t="n">
        <x:v>0</x:v>
      </x:c>
      <x:c r="T149" s="12"/>
      <x:c r="U149" s="12" t="str">
        <x:v>v300k_499k</x:v>
      </x:c>
      <x:c r="V149" s="17" t="n">
        <x:v>1</x:v>
      </x:c>
      <x:c r="W149" s="17" t="n">
        <x:v>1</x:v>
      </x:c>
      <x:c r="X149" s="17" t="n">
        <x:v>0</x:v>
      </x:c>
      <x:c r="Y149" s="17" t="n">
        <x:v>1</x:v>
      </x:c>
      <x:c r="Z149" s="17" t="n">
        <x:v>1</x:v>
      </x:c>
      <x:c r="AA149" s="17" t="n">
        <x:v>0</x:v>
      </x:c>
      <x:c r="AB149" s="17" t="n">
        <x:v>0</x:v>
      </x:c>
      <x:c r="AC149" s="17" t="n">
        <x:v>0</x:v>
      </x:c>
      <x:c r="AD149" s="17" t="n">
        <x:v>0</x:v>
      </x:c>
      <x:c r="AE149" s="12"/>
      <x:c r="AF149" s="12" t="str">
        <x:v>stock_unclear</x:v>
      </x:c>
      <x:c r="AG149" s="12" t="str">
        <x:v>Size còn hiển thị nhưng chỉ báo hết khi đặt.</x:v>
      </x:c>
      <x:c r="AH149" s="12" t="str">
        <x:v>yes</x:v>
      </x:c>
      <x:c r="AI149" s="17" t="n">
        <x:v>0</x:v>
      </x:c>
      <x:c r="AJ149" s="17" t="n">
        <x:v>1</x:v>
      </x:c>
      <x:c r="AK149" s="17" t="n">
        <x:v>1</x:v>
      </x:c>
      <x:c r="AL149" s="17" t="n">
        <x:v>0</x:v>
      </x:c>
      <x:c r="AM149" s="17" t="n">
        <x:v>0</x:v>
      </x:c>
      <x:c r="AN149" s="17" t="n">
        <x:v>0</x:v>
      </x:c>
      <x:c r="AO149" s="17" t="n">
        <x:v>0</x:v>
      </x:c>
      <x:c r="AP149" s="17" t="n">
        <x:v>0</x:v>
      </x:c>
      <x:c r="AQ149" s="12"/>
      <x:c r="AR149" s="17" t="n">
        <x:v>1</x:v>
      </x:c>
      <x:c r="AS149" s="17" t="n">
        <x:v>0</x:v>
      </x:c>
      <x:c r="AT149" s="17" t="n">
        <x:v>0</x:v>
      </x:c>
      <x:c r="AU149" s="17" t="n">
        <x:v>0</x:v>
      </x:c>
      <x:c r="AV149" s="17" t="n">
        <x:v>1</x:v>
      </x:c>
      <x:c r="AW149" s="17" t="n">
        <x:v>0</x:v>
      </x:c>
      <x:c r="AX149" s="17" t="n">
        <x:v>1</x:v>
      </x:c>
      <x:c r="AY149" s="17" t="n">
        <x:v>0</x:v>
      </x:c>
      <x:c r="AZ149" s="17" t="n">
        <x:v>0</x:v>
      </x:c>
      <x:c r="BA149" s="12"/>
      <x:c r="BB149" s="12" t="str">
        <x:v>prepaid</x:v>
      </x:c>
      <x:c r="BC149" s="12" t="str">
        <x:v>Tiện cho người nhận không cần chuẩn bị tiền.</x:v>
      </x:c>
      <x:c r="BD149" s="12" t="str">
        <x:v>depends_on_benefits</x:v>
      </x:c>
      <x:c r="BE149" s="17" t="n">
        <x:v>1</x:v>
      </x:c>
      <x:c r="BF149" s="17" t="n">
        <x:v>1</x:v>
      </x:c>
      <x:c r="BG149" s="17" t="n">
        <x:v>1</x:v>
      </x:c>
      <x:c r="BH149" s="17" t="n">
        <x:v>1</x:v>
      </x:c>
      <x:c r="BI149" s="17" t="n">
        <x:v>0</x:v>
      </x:c>
      <x:c r="BJ149" s="17" t="n">
        <x:v>0</x:v>
      </x:c>
      <x:c r="BK149" s="17" t="n">
        <x:v>0</x:v>
      </x:c>
      <x:c r="BL149" s="12" t="str">
        <x:v>fairly_willing</x:v>
      </x:c>
      <x:c r="BM149" s="12" t="str">
        <x:v>Hiển thị tồn theo từng size và màu.</x:v>
      </x:c>
    </x:row>
  </x:sheetData>
  <x:mergeCells>
    <x:mergeCell ref="A1:J1"/>
    <x:mergeCell ref="A2:J3"/>
  </x:mergeCells>
  <x:dataValidations count="50">
    <x:dataValidation type="list" sqref="G6:G149">
      <x:formula1>"valid,excluded"</x:formula1>
    </x:dataValidation>
    <x:dataValidation type="list" sqref="J6:J149">
      <x:formula1>"yes,no"</x:formula1>
    </x:dataValidation>
    <x:dataValidation type="list" sqref="K6:K149">
      <x:formula1>"under_18,age_18_24,age_25_34,age_35_44,over_44,prefer_not_to_say"</x:formula1>
    </x:dataValidation>
    <x:dataValidation type="list" sqref="L6:L149">
      <x:formula1>"yes,no"</x:formula1>
    </x:dataValidation>
    <x:dataValidation type="list" sqref="M6:M149">
      <x:formula1>"hcm,hanoi,danang,other_urban,nonurban,prefer_not_to_say"</x:formula1>
    </x:dataValidation>
    <x:dataValidation type="list" sqref="N6:N149">
      <x:formula1>"weekly,monthly_2_3,monthly,every_2_3_months,less_often"</x:formula1>
    </x:dataValidation>
    <x:dataValidation type="whole" operator="between" sqref="O6:O149">
      <x:formula1>0</x:formula1>
      <x:formula2>1</x:formula2>
    </x:dataValidation>
    <x:dataValidation type="whole" operator="between" sqref="P6:P149">
      <x:formula1>0</x:formula1>
      <x:formula2>1</x:formula2>
    </x:dataValidation>
    <x:dataValidation type="whole" operator="between" sqref="Q6:Q149">
      <x:formula1>0</x:formula1>
      <x:formula2>1</x:formula2>
    </x:dataValidation>
    <x:dataValidation type="whole" operator="between" sqref="R6:R149">
      <x:formula1>0</x:formula1>
      <x:formula2>1</x:formula2>
    </x:dataValidation>
    <x:dataValidation type="whole" operator="between" sqref="S6:S149">
      <x:formula1>0</x:formula1>
      <x:formula2>1</x:formula2>
    </x:dataValidation>
    <x:dataValidation type="list" sqref="U6:U149">
      <x:formula1>"under_300k,v300k_499k,v500k_799k,v800k_1199k,at_least_1200k,cannot_recall"</x:formula1>
    </x:dataValidation>
    <x:dataValidation type="whole" operator="between" sqref="V6:V149">
      <x:formula1>0</x:formula1>
      <x:formula2>1</x:formula2>
    </x:dataValidation>
    <x:dataValidation type="whole" operator="between" sqref="W6:W149">
      <x:formula1>0</x:formula1>
      <x:formula2>1</x:formula2>
    </x:dataValidation>
    <x:dataValidation type="whole" operator="between" sqref="X6:X149">
      <x:formula1>0</x:formula1>
      <x:formula2>1</x:formula2>
    </x:dataValidation>
    <x:dataValidation type="whole" operator="between" sqref="Y6:Y149">
      <x:formula1>0</x:formula1>
      <x:formula2>1</x:formula2>
    </x:dataValidation>
    <x:dataValidation type="whole" operator="between" sqref="Z6:Z149">
      <x:formula1>0</x:formula1>
      <x:formula2>1</x:formula2>
    </x:dataValidation>
    <x:dataValidation type="whole" operator="between" sqref="AA6:AA149">
      <x:formula1>0</x:formula1>
      <x:formula2>1</x:formula2>
    </x:dataValidation>
    <x:dataValidation type="whole" operator="between" sqref="AB6:AB149">
      <x:formula1>0</x:formula1>
      <x:formula2>1</x:formula2>
    </x:dataValidation>
    <x:dataValidation type="whole" operator="between" sqref="AC6:AC149">
      <x:formula1>0</x:formula1>
      <x:formula2>1</x:formula2>
    </x:dataValidation>
    <x:dataValidation type="whole" operator="between" sqref="AD6:AD149">
      <x:formula1>0</x:formula1>
      <x:formula2>1</x:formula2>
    </x:dataValidation>
    <x:dataValidation type="list" sqref="AF6:AF149">
      <x:formula1>"size_uncertain,photo_mismatch,returns_unclear,late_total,stock_unclear,tracking_unclear,payment_concern,other"</x:formula1>
    </x:dataValidation>
    <x:dataValidation type="list" sqref="AH6:AH149">
      <x:formula1>"yes,no,cannot_recall"</x:formula1>
    </x:dataValidation>
    <x:dataValidation type="whole" operator="between" sqref="AI6:AI149">
      <x:formula1>0</x:formula1>
      <x:formula2>1</x:formula2>
    </x:dataValidation>
    <x:dataValidation type="whole" operator="between" sqref="AJ6:AJ149">
      <x:formula1>0</x:formula1>
      <x:formula2>1</x:formula2>
    </x:dataValidation>
    <x:dataValidation type="whole" operator="between" sqref="AK6:AK149">
      <x:formula1>0</x:formula1>
      <x:formula2>1</x:formula2>
    </x:dataValidation>
    <x:dataValidation type="whole" operator="between" sqref="AL6:AL149">
      <x:formula1>0</x:formula1>
      <x:formula2>1</x:formula2>
    </x:dataValidation>
    <x:dataValidation type="whole" operator="between" sqref="AM6:AM149">
      <x:formula1>0</x:formula1>
      <x:formula2>1</x:formula2>
    </x:dataValidation>
    <x:dataValidation type="whole" operator="between" sqref="AN6:AN149">
      <x:formula1>0</x:formula1>
      <x:formula2>1</x:formula2>
    </x:dataValidation>
    <x:dataValidation type="whole" operator="between" sqref="AO6:AO149">
      <x:formula1>0</x:formula1>
      <x:formula2>1</x:formula2>
    </x:dataValidation>
    <x:dataValidation type="whole" operator="between" sqref="AP6:AP149">
      <x:formula1>0</x:formula1>
      <x:formula2>1</x:formula2>
    </x:dataValidation>
    <x:dataValidation type="whole" operator="between" sqref="AR6:AR149">
      <x:formula1>0</x:formula1>
      <x:formula2>1</x:formula2>
    </x:dataValidation>
    <x:dataValidation type="whole" operator="between" sqref="AS6:AS149">
      <x:formula1>0</x:formula1>
      <x:formula2>1</x:formula2>
    </x:dataValidation>
    <x:dataValidation type="whole" operator="between" sqref="AT6:AT149">
      <x:formula1>0</x:formula1>
      <x:formula2>1</x:formula2>
    </x:dataValidation>
    <x:dataValidation type="whole" operator="between" sqref="AU6:AU149">
      <x:formula1>0</x:formula1>
      <x:formula2>1</x:formula2>
    </x:dataValidation>
    <x:dataValidation type="whole" operator="between" sqref="AV6:AV149">
      <x:formula1>0</x:formula1>
      <x:formula2>1</x:formula2>
    </x:dataValidation>
    <x:dataValidation type="whole" operator="between" sqref="AW6:AW149">
      <x:formula1>0</x:formula1>
      <x:formula2>1</x:formula2>
    </x:dataValidation>
    <x:dataValidation type="whole" operator="between" sqref="AX6:AX149">
      <x:formula1>0</x:formula1>
      <x:formula2>1</x:formula2>
    </x:dataValidation>
    <x:dataValidation type="whole" operator="between" sqref="AY6:AY149">
      <x:formula1>0</x:formula1>
      <x:formula2>1</x:formula2>
    </x:dataValidation>
    <x:dataValidation type="whole" operator="between" sqref="AZ6:AZ149">
      <x:formula1>0</x:formula1>
      <x:formula2>1</x:formula2>
    </x:dataValidation>
    <x:dataValidation type="list" sqref="BB6:BB149">
      <x:formula1>"cod,prepaid,other,cannot_recall"</x:formula1>
    </x:dataValidation>
    <x:dataValidation type="list" sqref="BD6:BD149">
      <x:formula1>"guest,register_now,depends_on_benefits,unsure"</x:formula1>
    </x:dataValidation>
    <x:dataValidation type="whole" operator="between" sqref="BE6:BE149">
      <x:formula1>0</x:formula1>
      <x:formula2>1</x:formula2>
    </x:dataValidation>
    <x:dataValidation type="whole" operator="between" sqref="BF6:BF149">
      <x:formula1>0</x:formula1>
      <x:formula2>1</x:formula2>
    </x:dataValidation>
    <x:dataValidation type="whole" operator="between" sqref="BG6:BG149">
      <x:formula1>0</x:formula1>
      <x:formula2>1</x:formula2>
    </x:dataValidation>
    <x:dataValidation type="whole" operator="between" sqref="BH6:BH149">
      <x:formula1>0</x:formula1>
      <x:formula2>1</x:formula2>
    </x:dataValidation>
    <x:dataValidation type="whole" operator="between" sqref="BI6:BI149">
      <x:formula1>0</x:formula1>
      <x:formula2>1</x:formula2>
    </x:dataValidation>
    <x:dataValidation type="whole" operator="between" sqref="BJ6:BJ149">
      <x:formula1>0</x:formula1>
      <x:formula2>1</x:formula2>
    </x:dataValidation>
    <x:dataValidation type="whole" operator="between" sqref="BK6:BK149">
      <x:formula1>0</x:formula1>
      <x:formula2>1</x:formula2>
    </x:dataValidation>
    <x:dataValidation type="list" sqref="BL6:BL149">
      <x:formula1>"very_willing,fairly_willing,neutral,less_willing,unwilling"</x:formula1>
    </x:dataValidation>
  </x:dataValidations>
  <x:pageMargins left="0.7" right="0.7" top="0.75" bottom="0.75" header="0.3" footer="0.3"/>
  <x:tableParts count="1">
    <x:tablePart xmlns:r="http://schemas.openxmlformats.org/officeDocument/2006/relationships" r:id="R28b2314ea78f4cd4"/>
  </x:tableParts>
</x:worksheet>
</file>

<file path=xl/worksheets/sheet3.xml><?xml version="1.0" encoding="utf-8"?>
<x:worksheet xmlns:x="http://schemas.openxmlformats.org/spreadsheetml/2006/main">
  <x:sheetViews>
    <x:sheetView showGridLines="0" workbookViewId="0"/>
  </x:sheetViews>
  <x:sheetFormatPr defaultRowHeight="15"/>
  <x:cols>
    <x:col min="1" max="1" width="34" hidden="0" customWidth="1"/>
    <x:col min="2" max="2" width="27" hidden="0" customWidth="1"/>
    <x:col min="3" max="3" width="48" hidden="0" customWidth="1"/>
    <x:col min="4" max="4" width="15" hidden="0" customWidth="1"/>
    <x:col min="5" max="5" width="14" hidden="0" customWidth="1"/>
    <x:col min="6" max="6" width="14" hidden="0" customWidth="1"/>
    <x:col min="7" max="7" width="14" hidden="0" customWidth="1"/>
    <x:col min="8" max="8" width="17" hidden="0" customWidth="1"/>
    <x:col min="9" max="9" width="16" hidden="0" customWidth="1"/>
  </x:cols>
  <x:sheetData>
    <x:row r="1" ht="38" customHeight="1">
      <x:c r="A1" s="4" t="str">
        <x:v>KẾT QUẢ · chỉ tính phiếu hợp lệ</x:v>
      </x:c>
      <x:c r="B1" s="4"/>
      <x:c r="C1" s="4"/>
      <x:c r="D1" s="4"/>
      <x:c r="E1" s="4"/>
      <x:c r="F1" s="4"/>
      <x:c r="G1" s="4"/>
      <x:c r="H1" s="4"/>
      <x:c r="I1" s="4"/>
    </x:row>
    <x:row r="2" ht="24" customHeight="1">
      <x:c r="A2" s="6" t="str">
        <x:v>SYN = dữ liệu giả lập dùng cho bài tập, không phải kết quả khảo sát thị trường. Tỷ lệ = số người chọn / số người được hỏi câu đó. Q11 chỉ tính nhóm từng bỏ dở đặt hàng.</x:v>
      </x:c>
      <x:c r="B2" s="6"/>
      <x:c r="C2" s="6"/>
      <x:c r="D2" s="6"/>
      <x:c r="E2" s="6"/>
      <x:c r="F2" s="6"/>
      <x:c r="G2" s="6"/>
      <x:c r="H2" s="6"/>
      <x:c r="I2" s="6"/>
    </x:row>
    <x:row r="3" ht="24" customHeight="1">
      <x:c r="A3" s="6"/>
      <x:c r="B3" s="6"/>
      <x:c r="C3" s="6"/>
      <x:c r="D3" s="6"/>
      <x:c r="E3" s="6"/>
      <x:c r="F3" s="6"/>
      <x:c r="G3" s="6"/>
      <x:c r="H3" s="6"/>
      <x:c r="I3" s="6"/>
    </x:row>
    <x:row r="4" ht="12" customHeight="1">
      <x:c r="A4" s="2"/>
      <x:c r="B4" s="2"/>
      <x:c r="C4" s="2"/>
      <x:c r="D4" s="2"/>
      <x:c r="E4" s="2"/>
      <x:c r="F4" s="2"/>
      <x:c r="G4" s="2"/>
      <x:c r="H4" s="2"/>
      <x:c r="I4" s="2"/>
    </x:row>
    <x:row r="5" ht="42" customHeight="1">
      <x:c r="A5" s="9" t="str">
        <x:v>Các bước chọn phiếu</x:v>
      </x:c>
      <x:c r="B5" s="9" t="str">
        <x:v>Tính từ dữ liệu</x:v>
      </x:c>
      <x:c r="C5" s="9" t="str">
        <x:v>Số trong tệp nguồn</x:v>
      </x:c>
      <x:c r="D5" s="9" t="str">
        <x:v>Đối chiếu</x:v>
      </x:c>
      <x:c r="E5" s="2"/>
      <x:c r="F5" s="8" t="str">
        <x:v>Giải thích cách đếm</x:v>
      </x:c>
      <x:c r="G5" s="8"/>
      <x:c r="H5" s="8"/>
      <x:c r="I5" s="8"/>
    </x:row>
    <x:row r="6" ht="50" customHeight="1">
      <x:c r="A6" s="11" t="str">
        <x:v>Tiếp cận giả lập</x:v>
      </x:c>
      <x:c r="B6" s="11" t="n">
        <x:v>160</x:v>
      </x:c>
      <x:c r="C6" s="11" t="n">
        <x:v>160</x:v>
      </x:c>
      <x:c r="D6" s="24" t="str">
        <x:f>IF(B6=C6,"KHỚP","LỖI")</x:f>
        <x:v>KHỚP</x:v>
      </x:c>
      <x:c r="E6" s="2"/>
      <x:c r="F6" s="18" t="str">
        <x:v>Số giả định ghi trong thông tin bộ dữ liệu; không tạo hồ sơ cá nhân</x:v>
      </x:c>
      <x:c r="G6" s="18"/>
      <x:c r="H6" s="18"/>
      <x:c r="I6" s="18"/>
    </x:row>
    <x:row r="7" ht="50" customHeight="1">
      <x:c r="A7" s="12" t="str">
        <x:v>Không bắt đầu</x:v>
      </x:c>
      <x:c r="B7" s="19" t="n">
        <x:f>B6-B8</x:f>
        <x:v>16</x:v>
      </x:c>
      <x:c r="C7" s="12" t="n">
        <x:v>16</x:v>
      </x:c>
      <x:c r="D7" s="25" t="str">
        <x:f>IF(B7=C7,"KHỚP","LỖI")</x:f>
        <x:v>KHỚP</x:v>
      </x:c>
      <x:c r="E7" s="2"/>
      <x:c r="F7" s="18" t="str">
        <x:v>Hiệu số tiếp cận và số phiếu đã bắt đầu</x:v>
      </x:c>
      <x:c r="G7" s="18"/>
      <x:c r="H7" s="18"/>
      <x:c r="I7" s="18"/>
    </x:row>
    <x:row r="8" ht="50" customHeight="1">
      <x:c r="A8" s="11" t="str">
        <x:v>Bắt đầu trả lời</x:v>
      </x:c>
      <x:c r="B8" s="18" t="n">
        <x:f>COUNTA('DuLieuGoc'!$A$6:$A$149)</x:f>
        <x:v>144</x:v>
      </x:c>
      <x:c r="C8" s="11" t="n">
        <x:v>144</x:v>
      </x:c>
      <x:c r="D8" s="24" t="str">
        <x:f>IF(B8=C8,"KHỚP","LỖI")</x:f>
        <x:v>KHỚP</x:v>
      </x:c>
      <x:c r="E8" s="2"/>
      <x:c r="F8" s="18" t="str">
        <x:v>Đếm mã phiếu trong trang DuLieuGoc</x:v>
      </x:c>
      <x:c r="G8" s="18"/>
      <x:c r="H8" s="18"/>
      <x:c r="I8" s="18"/>
    </x:row>
    <x:row r="9" ht="50" customHeight="1">
      <x:c r="A9" s="12" t="str">
        <x:v>Đủ điều kiện</x:v>
      </x:c>
      <x:c r="B9" s="19" t="n">
        <x:f>COUNTIF('DuLieuGoc'!$E$6:$E$149,'Codebook'!$B$9)</x:f>
        <x:v>128</x:v>
      </x:c>
      <x:c r="C9" s="12" t="n">
        <x:v>128</x:v>
      </x:c>
      <x:c r="D9" s="25" t="str">
        <x:f>IF(B9=C9,"KHỚP","LỖI")</x:f>
        <x:v>KHỚP</x:v>
      </x:c>
      <x:c r="E9" s="2"/>
      <x:c r="F9" s="18" t="str">
        <x:v>Đếm cột đủ điều kiện (eligible) có giá trị 1</x:v>
      </x:c>
      <x:c r="G9" s="18"/>
      <x:c r="H9" s="18"/>
      <x:c r="I9" s="18"/>
    </x:row>
    <x:row r="10" ht="50" customHeight="1">
      <x:c r="A10" s="11" t="str">
        <x:v>Trả lời xong</x:v>
      </x:c>
      <x:c r="B10" s="18" t="n">
        <x:f>COUNTIF('DuLieuGoc'!$F$6:$F$149,'Codebook'!$B$9)</x:f>
        <x:v>124</x:v>
      </x:c>
      <x:c r="C10" s="11" t="n">
        <x:v>124</x:v>
      </x:c>
      <x:c r="D10" s="24" t="str">
        <x:f>IF(B10=C10,"KHỚP","LỖI")</x:f>
        <x:v>KHỚP</x:v>
      </x:c>
      <x:c r="E10" s="2"/>
      <x:c r="F10" s="18" t="str">
        <x:v>Đếm cột hoàn tất (completed) có giá trị 1; gồm cả 4 phiếu trùng</x:v>
      </x:c>
      <x:c r="G10" s="18"/>
      <x:c r="H10" s="18"/>
      <x:c r="I10" s="18"/>
    </x:row>
    <x:row r="11" ht="50" customHeight="1">
      <x:c r="A11" s="12" t="str">
        <x:v>Hợp lệ</x:v>
      </x:c>
      <x:c r="B11" s="19" t="n">
        <x:f>COUNTIF('DuLieuGoc'!$G$6:$G$149,'Codebook'!$B$6)</x:f>
        <x:v>120</x:v>
      </x:c>
      <x:c r="C11" s="12" t="n">
        <x:v>120</x:v>
      </x:c>
      <x:c r="D11" s="25" t="str">
        <x:f>IF(B11=C11,"KHỚP","LỖI")</x:f>
        <x:v>KHỚP</x:v>
      </x:c>
      <x:c r="E11" s="2"/>
      <x:c r="F11" s="18" t="str">
        <x:v>Đếm phiếu có status = valid; đây là nhóm dùng để tính kết quả chính</x:v>
      </x:c>
      <x:c r="G11" s="18"/>
      <x:c r="H11" s="18"/>
      <x:c r="I11" s="18"/>
    </x:row>
    <x:row r="12" ht="50" customHeight="1">
      <x:c r="A12" s="11" t="str">
        <x:v>Tổng bị loại</x:v>
      </x:c>
      <x:c r="B12" s="18" t="n">
        <x:f>B8-B11</x:f>
        <x:v>24</x:v>
      </x:c>
      <x:c r="C12" s="11" t="n">
        <x:v>24</x:v>
      </x:c>
      <x:c r="D12" s="24" t="str">
        <x:f>IF(B12=C12,"KHỚP","LỖI")</x:f>
        <x:v>KHỚP</x:v>
      </x:c>
      <x:c r="E12" s="2"/>
      <x:c r="F12" s="18" t="str">
        <x:v>Số phiếu gốc trừ số phiếu hợp lệ</x:v>
      </x:c>
      <x:c r="G12" s="18"/>
      <x:c r="H12" s="18"/>
      <x:c r="I12" s="18"/>
    </x:row>
    <x:row r="13" ht="50" customHeight="1">
      <x:c r="A13" s="2"/>
      <x:c r="B13" s="2"/>
      <x:c r="C13" s="2"/>
      <x:c r="D13" s="2"/>
      <x:c r="E13" s="2"/>
      <x:c r="F13" s="2"/>
      <x:c r="G13" s="2"/>
      <x:c r="H13" s="2"/>
      <x:c r="I13" s="2"/>
    </x:row>
    <x:row r="14" ht="50" customHeight="1">
      <x:c r="A14" s="2"/>
      <x:c r="B14" s="2"/>
      <x:c r="C14" s="2"/>
      <x:c r="D14" s="2"/>
      <x:c r="E14" s="2"/>
      <x:c r="F14" s="2"/>
      <x:c r="G14" s="2"/>
      <x:c r="H14" s="2"/>
      <x:c r="I14" s="2"/>
    </x:row>
    <x:row r="15" ht="50" customHeight="1">
      <x:c r="A15" s="9" t="str">
        <x:v>Mã lý do loại</x:v>
      </x:c>
      <x:c r="B15" s="9" t="str">
        <x:v>Đếm từ phiếu gốc</x:v>
      </x:c>
      <x:c r="C15" s="9" t="str">
        <x:v>Số trong tệp nguồn</x:v>
      </x:c>
      <x:c r="D15" s="9" t="str">
        <x:v>Đối chiếu</x:v>
      </x:c>
      <x:c r="E15" s="2"/>
      <x:c r="F15" s="8" t="str">
        <x:v>Diễn giải lý do loại</x:v>
      </x:c>
      <x:c r="G15" s="8"/>
      <x:c r="H15" s="8"/>
      <x:c r="I15" s="8"/>
    </x:row>
    <x:row r="16" ht="50" customHeight="1">
      <x:c r="A16" s="11" t="str">
        <x:v>no_consent</x:v>
      </x:c>
      <x:c r="B16" s="28" t="n">
        <x:f>COUNTIF('DuLieuGoc'!$H$6:$H$149,A16)</x:f>
        <x:v>4</x:v>
      </x:c>
      <x:c r="C16" s="11" t="n">
        <x:v>4</x:v>
      </x:c>
      <x:c r="D16" s="24" t="str">
        <x:f>IF(B16=C16,"KHỚP","LỖI")</x:f>
        <x:v>KHỚP</x:v>
      </x:c>
      <x:c r="E16" s="2"/>
      <x:c r="F16" s="18" t="str">
        <x:v>Không đồng ý tham gia; dừng sau Q01.</x:v>
      </x:c>
      <x:c r="G16" s="18"/>
      <x:c r="H16" s="18"/>
      <x:c r="I16" s="18"/>
    </x:row>
    <x:row r="17" ht="50" customHeight="1">
      <x:c r="A17" s="12" t="str">
        <x:v>out_of_age</x:v>
      </x:c>
      <x:c r="B17" s="29" t="n">
        <x:f>COUNTIF('DuLieuGoc'!$H$6:$H$149,A17)</x:f>
        <x:v>5</x:v>
      </x:c>
      <x:c r="C17" s="12" t="n">
        <x:v>5</x:v>
      </x:c>
      <x:c r="D17" s="25" t="str">
        <x:f>IF(B17=C17,"KHỚP","LỖI")</x:f>
        <x:v>KHỚP</x:v>
      </x:c>
      <x:c r="E17" s="2"/>
      <x:c r="F17" s="18" t="str">
        <x:v>Ngoài 18–44 tuổi hoặc không trả lời tuổi; dừng sau Q02.</x:v>
      </x:c>
      <x:c r="G17" s="18"/>
      <x:c r="H17" s="18"/>
      <x:c r="I17" s="18"/>
    </x:row>
    <x:row r="18" ht="50" customHeight="1">
      <x:c r="A18" s="11" t="str">
        <x:v>no_recent_purchase</x:v>
      </x:c>
      <x:c r="B18" s="28" t="n">
        <x:f>COUNTIF('DuLieuGoc'!$H$6:$H$149,A18)</x:f>
        <x:v>7</x:v>
      </x:c>
      <x:c r="C18" s="11" t="n">
        <x:v>7</x:v>
      </x:c>
      <x:c r="D18" s="24" t="str">
        <x:f>IF(B18=C18,"KHỚP","LỖI")</x:f>
        <x:v>KHỚP</x:v>
      </x:c>
      <x:c r="E18" s="2"/>
      <x:c r="F18" s="18" t="str">
        <x:v>Không mua quần áo trực tuyến trong 6 tháng; dừng sau Q03.</x:v>
      </x:c>
      <x:c r="G18" s="18"/>
      <x:c r="H18" s="18"/>
      <x:c r="I18" s="18"/>
    </x:row>
    <x:row r="19" ht="50" customHeight="1">
      <x:c r="A19" s="12" t="str">
        <x:v>duplicate</x:v>
      </x:c>
      <x:c r="B19" s="29" t="n">
        <x:f>COUNTIF('DuLieuGoc'!$H$6:$H$149,A19)</x:f>
        <x:v>4</x:v>
      </x:c>
      <x:c r="C19" s="12" t="n">
        <x:v>4</x:v>
      </x:c>
      <x:c r="D19" s="25" t="str">
        <x:f>IF(B19=C19,"KHỚP","LỖI")</x:f>
        <x:v>KHỚP</x:v>
      </x:c>
      <x:c r="E19" s="2"/>
      <x:c r="F19" s="18" t="str">
        <x:v>Phiếu gửi trùng được chương trình tạo có chủ đích và ghi mã phiếu gốc.</x:v>
      </x:c>
      <x:c r="G19" s="18"/>
      <x:c r="H19" s="18"/>
      <x:c r="I19" s="18"/>
    </x:row>
    <x:row r="20" ht="50" customHeight="1">
      <x:c r="A20" s="11" t="str">
        <x:v>incomplete</x:v>
      </x:c>
      <x:c r="B20" s="28" t="n">
        <x:f>COUNTIF('DuLieuGoc'!$H$6:$H$149,A20)</x:f>
        <x:v>4</x:v>
      </x:c>
      <x:c r="C20" s="11" t="n">
        <x:v>4</x:v>
      </x:c>
      <x:c r="D20" s="24" t="str">
        <x:f>IF(B20=C20,"KHỚP","LỖI")</x:f>
        <x:v>KHỚP</x:v>
      </x:c>
      <x:c r="E20" s="2"/>
      <x:c r="F20" s="18" t="str">
        <x:v>Đủ điều kiện nhưng chưa trả lời xong các câu hỏi chính.</x:v>
      </x:c>
      <x:c r="G20" s="18"/>
      <x:c r="H20" s="18"/>
      <x:c r="I20" s="18"/>
    </x:row>
    <x:row r="21" ht="24" customHeight="1">
      <x:c r="A21" s="2"/>
      <x:c r="B21" s="2"/>
      <x:c r="C21" s="2"/>
      <x:c r="D21" s="2"/>
      <x:c r="E21" s="2"/>
      <x:c r="F21" s="2"/>
      <x:c r="G21" s="2"/>
      <x:c r="H21" s="2"/>
      <x:c r="I21" s="2"/>
    </x:row>
    <x:row r="22" ht="24" customHeight="1">
      <x:c r="A22" s="2"/>
      <x:c r="B22" s="2"/>
      <x:c r="C22" s="2"/>
      <x:c r="D22" s="2"/>
      <x:c r="E22" s="2"/>
      <x:c r="F22" s="2"/>
      <x:c r="G22" s="2"/>
      <x:c r="H22" s="2"/>
      <x:c r="I22" s="2"/>
    </x:row>
    <x:row r="23" ht="24" customHeight="1">
      <x:c r="A23" s="2"/>
      <x:c r="B23" s="2"/>
      <x:c r="C23" s="2"/>
      <x:c r="D23" s="2"/>
      <x:c r="E23" s="2"/>
      <x:c r="F23" s="2"/>
      <x:c r="G23" s="2"/>
      <x:c r="H23" s="2"/>
      <x:c r="I23" s="2"/>
    </x:row>
    <x:row r="24" ht="42" customHeight="1">
      <x:c r="A24" s="9" t="str">
        <x:v>Câu hỏi</x:v>
      </x:c>
      <x:c r="B24" s="9" t="str">
        <x:v>Mã đáp án gốc</x:v>
      </x:c>
      <x:c r="C24" s="9" t="str">
        <x:v>Nội dung</x:v>
      </x:c>
      <x:c r="D24" s="9" t="str">
        <x:v>Số người chọn</x:v>
      </x:c>
      <x:c r="E24" s="9" t="str">
        <x:v>Số người được hỏi</x:v>
      </x:c>
      <x:c r="F24" s="9" t="str">
        <x:v>Tỷ lệ</x:v>
      </x:c>
      <x:c r="G24" s="9" t="str">
        <x:v>Số chọn: nguồn</x:v>
      </x:c>
      <x:c r="H24" s="9" t="str">
        <x:v>Số được hỏi: nguồn</x:v>
      </x:c>
      <x:c r="I24" s="9" t="str">
        <x:v>Đối chiếu</x:v>
      </x:c>
    </x:row>
    <x:row r="25" ht="39" customHeight="1">
      <x:c r="A25" s="11" t="str">
        <x:v>Q02</x:v>
      </x:c>
      <x:c r="B25" s="11" t="str">
        <x:v>under_18</x:v>
      </x:c>
      <x:c r="C25" s="11" t="str">
        <x:v>Dưới 18</x:v>
      </x:c>
      <x:c r="D25" s="28" t="n">
        <x:f>COUNTIFS('DuLieuGoc'!$G$6:$G$149,'Codebook'!$B$6,'DuLieuGoc'!$K$6:$K$149,B25)</x:f>
        <x:v>0</x:v>
      </x:c>
      <x:c r="E25" s="28" t="n">
        <x:f>COUNTIFS('DuLieuGoc'!$G$6:$G$149,'Codebook'!$B$6,'DuLieuGoc'!$K$6:$K$149,"&lt;&gt;")</x:f>
        <x:v>120</x:v>
      </x:c>
      <x:c r="F25" s="30" t="n">
        <x:f>IF(E25=0,"",D25/E25)</x:f>
        <x:v>0</x:v>
      </x:c>
      <x:c r="G25" s="26" t="n">
        <x:v>0</x:v>
      </x:c>
      <x:c r="H25" s="26" t="n">
        <x:v>120</x:v>
      </x:c>
      <x:c r="I25" s="32" t="str">
        <x:f>IF(AND(D25=G25,E25=H25),"KHỚP","LỖI")</x:f>
        <x:v>KHỚP</x:v>
      </x:c>
    </x:row>
    <x:row r="26" ht="39" customHeight="1">
      <x:c r="A26" s="12" t="str">
        <x:v>Q02</x:v>
      </x:c>
      <x:c r="B26" s="12" t="str">
        <x:v>age_18_24</x:v>
      </x:c>
      <x:c r="C26" s="12" t="str">
        <x:v>18–24</x:v>
      </x:c>
      <x:c r="D26" s="29" t="n">
        <x:f>COUNTIFS('DuLieuGoc'!$G$6:$G$149,'Codebook'!$B$6,'DuLieuGoc'!$K$6:$K$149,B26)</x:f>
        <x:v>42</x:v>
      </x:c>
      <x:c r="E26" s="29" t="n">
        <x:f>COUNTIFS('DuLieuGoc'!$G$6:$G$149,'Codebook'!$B$6,'DuLieuGoc'!$K$6:$K$149,"&lt;&gt;")</x:f>
        <x:v>120</x:v>
      </x:c>
      <x:c r="F26" s="31" t="n">
        <x:f>IF(E26=0,"",D26/E26)</x:f>
        <x:v>0.35</x:v>
      </x:c>
      <x:c r="G26" s="27" t="n">
        <x:v>42</x:v>
      </x:c>
      <x:c r="H26" s="27" t="n">
        <x:v>120</x:v>
      </x:c>
      <x:c r="I26" s="33" t="str">
        <x:f>IF(AND(D26=G26,E26=H26),"KHỚP","LỖI")</x:f>
        <x:v>KHỚP</x:v>
      </x:c>
    </x:row>
    <x:row r="27" ht="39" customHeight="1">
      <x:c r="A27" s="11" t="str">
        <x:v>Q02</x:v>
      </x:c>
      <x:c r="B27" s="11" t="str">
        <x:v>age_25_34</x:v>
      </x:c>
      <x:c r="C27" s="11" t="str">
        <x:v>25–34</x:v>
      </x:c>
      <x:c r="D27" s="28" t="n">
        <x:f>COUNTIFS('DuLieuGoc'!$G$6:$G$149,'Codebook'!$B$6,'DuLieuGoc'!$K$6:$K$149,B27)</x:f>
        <x:v>48</x:v>
      </x:c>
      <x:c r="E27" s="28" t="n">
        <x:f>COUNTIFS('DuLieuGoc'!$G$6:$G$149,'Codebook'!$B$6,'DuLieuGoc'!$K$6:$K$149,"&lt;&gt;")</x:f>
        <x:v>120</x:v>
      </x:c>
      <x:c r="F27" s="30" t="n">
        <x:f>IF(E27=0,"",D27/E27)</x:f>
        <x:v>0.4</x:v>
      </x:c>
      <x:c r="G27" s="26" t="n">
        <x:v>48</x:v>
      </x:c>
      <x:c r="H27" s="26" t="n">
        <x:v>120</x:v>
      </x:c>
      <x:c r="I27" s="32" t="str">
        <x:f>IF(AND(D27=G27,E27=H27),"KHỚP","LỖI")</x:f>
        <x:v>KHỚP</x:v>
      </x:c>
    </x:row>
    <x:row r="28" ht="39" customHeight="1">
      <x:c r="A28" s="12" t="str">
        <x:v>Q02</x:v>
      </x:c>
      <x:c r="B28" s="12" t="str">
        <x:v>age_35_44</x:v>
      </x:c>
      <x:c r="C28" s="12" t="str">
        <x:v>35–44</x:v>
      </x:c>
      <x:c r="D28" s="29" t="n">
        <x:f>COUNTIFS('DuLieuGoc'!$G$6:$G$149,'Codebook'!$B$6,'DuLieuGoc'!$K$6:$K$149,B28)</x:f>
        <x:v>30</x:v>
      </x:c>
      <x:c r="E28" s="29" t="n">
        <x:f>COUNTIFS('DuLieuGoc'!$G$6:$G$149,'Codebook'!$B$6,'DuLieuGoc'!$K$6:$K$149,"&lt;&gt;")</x:f>
        <x:v>120</x:v>
      </x:c>
      <x:c r="F28" s="31" t="n">
        <x:f>IF(E28=0,"",D28/E28)</x:f>
        <x:v>0.25</x:v>
      </x:c>
      <x:c r="G28" s="27" t="n">
        <x:v>30</x:v>
      </x:c>
      <x:c r="H28" s="27" t="n">
        <x:v>120</x:v>
      </x:c>
      <x:c r="I28" s="33" t="str">
        <x:f>IF(AND(D28=G28,E28=H28),"KHỚP","LỖI")</x:f>
        <x:v>KHỚP</x:v>
      </x:c>
    </x:row>
    <x:row r="29" ht="39" customHeight="1">
      <x:c r="A29" s="11" t="str">
        <x:v>Q02</x:v>
      </x:c>
      <x:c r="B29" s="11" t="str">
        <x:v>over_44</x:v>
      </x:c>
      <x:c r="C29" s="11" t="str">
        <x:v>Trên 44</x:v>
      </x:c>
      <x:c r="D29" s="28" t="n">
        <x:f>COUNTIFS('DuLieuGoc'!$G$6:$G$149,'Codebook'!$B$6,'DuLieuGoc'!$K$6:$K$149,B29)</x:f>
        <x:v>0</x:v>
      </x:c>
      <x:c r="E29" s="28" t="n">
        <x:f>COUNTIFS('DuLieuGoc'!$G$6:$G$149,'Codebook'!$B$6,'DuLieuGoc'!$K$6:$K$149,"&lt;&gt;")</x:f>
        <x:v>120</x:v>
      </x:c>
      <x:c r="F29" s="30" t="n">
        <x:f>IF(E29=0,"",D29/E29)</x:f>
        <x:v>0</x:v>
      </x:c>
      <x:c r="G29" s="26" t="n">
        <x:v>0</x:v>
      </x:c>
      <x:c r="H29" s="26" t="n">
        <x:v>120</x:v>
      </x:c>
      <x:c r="I29" s="32" t="str">
        <x:f>IF(AND(D29=G29,E29=H29),"KHỚP","LỖI")</x:f>
        <x:v>KHỚP</x:v>
      </x:c>
    </x:row>
    <x:row r="30" ht="39" customHeight="1">
      <x:c r="A30" s="12" t="str">
        <x:v>Q02</x:v>
      </x:c>
      <x:c r="B30" s="12" t="str">
        <x:v>prefer_not_to_say</x:v>
      </x:c>
      <x:c r="C30" s="12" t="str">
        <x:v>Không muốn trả lời</x:v>
      </x:c>
      <x:c r="D30" s="29" t="n">
        <x:f>COUNTIFS('DuLieuGoc'!$G$6:$G$149,'Codebook'!$B$6,'DuLieuGoc'!$K$6:$K$149,B30)</x:f>
        <x:v>0</x:v>
      </x:c>
      <x:c r="E30" s="29" t="n">
        <x:f>COUNTIFS('DuLieuGoc'!$G$6:$G$149,'Codebook'!$B$6,'DuLieuGoc'!$K$6:$K$149,"&lt;&gt;")</x:f>
        <x:v>120</x:v>
      </x:c>
      <x:c r="F30" s="31" t="n">
        <x:f>IF(E30=0,"",D30/E30)</x:f>
        <x:v>0</x:v>
      </x:c>
      <x:c r="G30" s="27" t="n">
        <x:v>0</x:v>
      </x:c>
      <x:c r="H30" s="27" t="n">
        <x:v>120</x:v>
      </x:c>
      <x:c r="I30" s="33" t="str">
        <x:f>IF(AND(D30=G30,E30=H30),"KHỚP","LỖI")</x:f>
        <x:v>KHỚP</x:v>
      </x:c>
    </x:row>
    <x:row r="31" ht="39" customHeight="1">
      <x:c r="A31" s="11" t="str">
        <x:v>Q04</x:v>
      </x:c>
      <x:c r="B31" s="11" t="str">
        <x:v>hcm</x:v>
      </x:c>
      <x:c r="C31" s="11" t="str">
        <x:v>TP.HCM</x:v>
      </x:c>
      <x:c r="D31" s="28" t="n">
        <x:f>COUNTIFS('DuLieuGoc'!$G$6:$G$149,'Codebook'!$B$6,'DuLieuGoc'!$M$6:$M$149,B31)</x:f>
        <x:v>45</x:v>
      </x:c>
      <x:c r="E31" s="28" t="n">
        <x:f>COUNTIFS('DuLieuGoc'!$G$6:$G$149,'Codebook'!$B$6,'DuLieuGoc'!$M$6:$M$149,"&lt;&gt;")</x:f>
        <x:v>120</x:v>
      </x:c>
      <x:c r="F31" s="30" t="n">
        <x:f>IF(E31=0,"",D31/E31)</x:f>
        <x:v>0.375</x:v>
      </x:c>
      <x:c r="G31" s="26" t="n">
        <x:v>45</x:v>
      </x:c>
      <x:c r="H31" s="26" t="n">
        <x:v>120</x:v>
      </x:c>
      <x:c r="I31" s="32" t="str">
        <x:f>IF(AND(D31=G31,E31=H31),"KHỚP","LỖI")</x:f>
        <x:v>KHỚP</x:v>
      </x:c>
    </x:row>
    <x:row r="32" ht="39" customHeight="1">
      <x:c r="A32" s="12" t="str">
        <x:v>Q04</x:v>
      </x:c>
      <x:c r="B32" s="12" t="str">
        <x:v>hanoi</x:v>
      </x:c>
      <x:c r="C32" s="12" t="str">
        <x:v>Hà Nội</x:v>
      </x:c>
      <x:c r="D32" s="29" t="n">
        <x:f>COUNTIFS('DuLieuGoc'!$G$6:$G$149,'Codebook'!$B$6,'DuLieuGoc'!$M$6:$M$149,B32)</x:f>
        <x:v>26</x:v>
      </x:c>
      <x:c r="E32" s="29" t="n">
        <x:f>COUNTIFS('DuLieuGoc'!$G$6:$G$149,'Codebook'!$B$6,'DuLieuGoc'!$M$6:$M$149,"&lt;&gt;")</x:f>
        <x:v>120</x:v>
      </x:c>
      <x:c r="F32" s="31" t="n">
        <x:f>IF(E32=0,"",D32/E32)</x:f>
        <x:v>0.21666666666666667</x:v>
      </x:c>
      <x:c r="G32" s="27" t="n">
        <x:v>26</x:v>
      </x:c>
      <x:c r="H32" s="27" t="n">
        <x:v>120</x:v>
      </x:c>
      <x:c r="I32" s="33" t="str">
        <x:f>IF(AND(D32=G32,E32=H32),"KHỚP","LỖI")</x:f>
        <x:v>KHỚP</x:v>
      </x:c>
    </x:row>
    <x:row r="33" ht="39" customHeight="1">
      <x:c r="A33" s="11" t="str">
        <x:v>Q04</x:v>
      </x:c>
      <x:c r="B33" s="11" t="str">
        <x:v>danang</x:v>
      </x:c>
      <x:c r="C33" s="11" t="str">
        <x:v>Đà Nẵng</x:v>
      </x:c>
      <x:c r="D33" s="28" t="n">
        <x:f>COUNTIFS('DuLieuGoc'!$G$6:$G$149,'Codebook'!$B$6,'DuLieuGoc'!$M$6:$M$149,B33)</x:f>
        <x:v>16</x:v>
      </x:c>
      <x:c r="E33" s="28" t="n">
        <x:f>COUNTIFS('DuLieuGoc'!$G$6:$G$149,'Codebook'!$B$6,'DuLieuGoc'!$M$6:$M$149,"&lt;&gt;")</x:f>
        <x:v>120</x:v>
      </x:c>
      <x:c r="F33" s="30" t="n">
        <x:f>IF(E33=0,"",D33/E33)</x:f>
        <x:v>0.13333333333333333</x:v>
      </x:c>
      <x:c r="G33" s="26" t="n">
        <x:v>16</x:v>
      </x:c>
      <x:c r="H33" s="26" t="n">
        <x:v>120</x:v>
      </x:c>
      <x:c r="I33" s="32" t="str">
        <x:f>IF(AND(D33=G33,E33=H33),"KHỚP","LỖI")</x:f>
        <x:v>KHỚP</x:v>
      </x:c>
    </x:row>
    <x:row r="34" ht="39" customHeight="1">
      <x:c r="A34" s="12" t="str">
        <x:v>Q04</x:v>
      </x:c>
      <x:c r="B34" s="12" t="str">
        <x:v>other_urban</x:v>
      </x:c>
      <x:c r="C34" s="12" t="str">
        <x:v>Đô thị khác</x:v>
      </x:c>
      <x:c r="D34" s="29" t="n">
        <x:f>COUNTIFS('DuLieuGoc'!$G$6:$G$149,'Codebook'!$B$6,'DuLieuGoc'!$M$6:$M$149,B34)</x:f>
        <x:v>20</x:v>
      </x:c>
      <x:c r="E34" s="29" t="n">
        <x:f>COUNTIFS('DuLieuGoc'!$G$6:$G$149,'Codebook'!$B$6,'DuLieuGoc'!$M$6:$M$149,"&lt;&gt;")</x:f>
        <x:v>120</x:v>
      </x:c>
      <x:c r="F34" s="31" t="n">
        <x:f>IF(E34=0,"",D34/E34)</x:f>
        <x:v>0.16666666666666666</x:v>
      </x:c>
      <x:c r="G34" s="27" t="n">
        <x:v>20</x:v>
      </x:c>
      <x:c r="H34" s="27" t="n">
        <x:v>120</x:v>
      </x:c>
      <x:c r="I34" s="33" t="str">
        <x:f>IF(AND(D34=G34,E34=H34),"KHỚP","LỖI")</x:f>
        <x:v>KHỚP</x:v>
      </x:c>
    </x:row>
    <x:row r="35" ht="39" customHeight="1">
      <x:c r="A35" s="11" t="str">
        <x:v>Q04</x:v>
      </x:c>
      <x:c r="B35" s="11" t="str">
        <x:v>nonurban</x:v>
      </x:c>
      <x:c r="C35" s="11" t="str">
        <x:v>Ngoài đô thị</x:v>
      </x:c>
      <x:c r="D35" s="28" t="n">
        <x:f>COUNTIFS('DuLieuGoc'!$G$6:$G$149,'Codebook'!$B$6,'DuLieuGoc'!$M$6:$M$149,B35)</x:f>
        <x:v>11</x:v>
      </x:c>
      <x:c r="E35" s="28" t="n">
        <x:f>COUNTIFS('DuLieuGoc'!$G$6:$G$149,'Codebook'!$B$6,'DuLieuGoc'!$M$6:$M$149,"&lt;&gt;")</x:f>
        <x:v>120</x:v>
      </x:c>
      <x:c r="F35" s="30" t="n">
        <x:f>IF(E35=0,"",D35/E35)</x:f>
        <x:v>0.09166666666666666</x:v>
      </x:c>
      <x:c r="G35" s="26" t="n">
        <x:v>11</x:v>
      </x:c>
      <x:c r="H35" s="26" t="n">
        <x:v>120</x:v>
      </x:c>
      <x:c r="I35" s="32" t="str">
        <x:f>IF(AND(D35=G35,E35=H35),"KHỚP","LỖI")</x:f>
        <x:v>KHỚP</x:v>
      </x:c>
    </x:row>
    <x:row r="36" ht="39" customHeight="1">
      <x:c r="A36" s="12" t="str">
        <x:v>Q04</x:v>
      </x:c>
      <x:c r="B36" s="12" t="str">
        <x:v>prefer_not_to_say</x:v>
      </x:c>
      <x:c r="C36" s="12" t="str">
        <x:v>Không muốn trả lời</x:v>
      </x:c>
      <x:c r="D36" s="29" t="n">
        <x:f>COUNTIFS('DuLieuGoc'!$G$6:$G$149,'Codebook'!$B$6,'DuLieuGoc'!$M$6:$M$149,B36)</x:f>
        <x:v>2</x:v>
      </x:c>
      <x:c r="E36" s="29" t="n">
        <x:f>COUNTIFS('DuLieuGoc'!$G$6:$G$149,'Codebook'!$B$6,'DuLieuGoc'!$M$6:$M$149,"&lt;&gt;")</x:f>
        <x:v>120</x:v>
      </x:c>
      <x:c r="F36" s="31" t="n">
        <x:f>IF(E36=0,"",D36/E36)</x:f>
        <x:v>0.016666666666666666</x:v>
      </x:c>
      <x:c r="G36" s="27" t="n">
        <x:v>2</x:v>
      </x:c>
      <x:c r="H36" s="27" t="n">
        <x:v>120</x:v>
      </x:c>
      <x:c r="I36" s="33" t="str">
        <x:f>IF(AND(D36=G36,E36=H36),"KHỚP","LỖI")</x:f>
        <x:v>KHỚP</x:v>
      </x:c>
    </x:row>
    <x:row r="37" ht="39" customHeight="1">
      <x:c r="A37" s="11" t="str">
        <x:v>Q05</x:v>
      </x:c>
      <x:c r="B37" s="11" t="str">
        <x:v>weekly</x:v>
      </x:c>
      <x:c r="C37" s="11" t="str">
        <x:v>Hằng tuần</x:v>
      </x:c>
      <x:c r="D37" s="28" t="n">
        <x:f>COUNTIFS('DuLieuGoc'!$G$6:$G$149,'Codebook'!$B$6,'DuLieuGoc'!$N$6:$N$149,B37)</x:f>
        <x:v>6</x:v>
      </x:c>
      <x:c r="E37" s="28" t="n">
        <x:f>COUNTIFS('DuLieuGoc'!$G$6:$G$149,'Codebook'!$B$6,'DuLieuGoc'!$N$6:$N$149,"&lt;&gt;")</x:f>
        <x:v>120</x:v>
      </x:c>
      <x:c r="F37" s="30" t="n">
        <x:f>IF(E37=0,"",D37/E37)</x:f>
        <x:v>0.05</x:v>
      </x:c>
      <x:c r="G37" s="26" t="n">
        <x:v>6</x:v>
      </x:c>
      <x:c r="H37" s="26" t="n">
        <x:v>120</x:v>
      </x:c>
      <x:c r="I37" s="32" t="str">
        <x:f>IF(AND(D37=G37,E37=H37),"KHỚP","LỖI")</x:f>
        <x:v>KHỚP</x:v>
      </x:c>
    </x:row>
    <x:row r="38" ht="39" customHeight="1">
      <x:c r="A38" s="12" t="str">
        <x:v>Q05</x:v>
      </x:c>
      <x:c r="B38" s="12" t="str">
        <x:v>monthly_2_3</x:v>
      </x:c>
      <x:c r="C38" s="12" t="str">
        <x:v>2–3 lần mỗi tháng</x:v>
      </x:c>
      <x:c r="D38" s="29" t="n">
        <x:f>COUNTIFS('DuLieuGoc'!$G$6:$G$149,'Codebook'!$B$6,'DuLieuGoc'!$N$6:$N$149,B38)</x:f>
        <x:v>41</x:v>
      </x:c>
      <x:c r="E38" s="29" t="n">
        <x:f>COUNTIFS('DuLieuGoc'!$G$6:$G$149,'Codebook'!$B$6,'DuLieuGoc'!$N$6:$N$149,"&lt;&gt;")</x:f>
        <x:v>120</x:v>
      </x:c>
      <x:c r="F38" s="31" t="n">
        <x:f>IF(E38=0,"",D38/E38)</x:f>
        <x:v>0.3416666666666667</x:v>
      </x:c>
      <x:c r="G38" s="27" t="n">
        <x:v>41</x:v>
      </x:c>
      <x:c r="H38" s="27" t="n">
        <x:v>120</x:v>
      </x:c>
      <x:c r="I38" s="33" t="str">
        <x:f>IF(AND(D38=G38,E38=H38),"KHỚP","LỖI")</x:f>
        <x:v>KHỚP</x:v>
      </x:c>
    </x:row>
    <x:row r="39" ht="39" customHeight="1">
      <x:c r="A39" s="11" t="str">
        <x:v>Q05</x:v>
      </x:c>
      <x:c r="B39" s="11" t="str">
        <x:v>monthly</x:v>
      </x:c>
      <x:c r="C39" s="11" t="str">
        <x:v>Khoảng 1 lần mỗi tháng</x:v>
      </x:c>
      <x:c r="D39" s="28" t="n">
        <x:f>COUNTIFS('DuLieuGoc'!$G$6:$G$149,'Codebook'!$B$6,'DuLieuGoc'!$N$6:$N$149,B39)</x:f>
        <x:v>43</x:v>
      </x:c>
      <x:c r="E39" s="28" t="n">
        <x:f>COUNTIFS('DuLieuGoc'!$G$6:$G$149,'Codebook'!$B$6,'DuLieuGoc'!$N$6:$N$149,"&lt;&gt;")</x:f>
        <x:v>120</x:v>
      </x:c>
      <x:c r="F39" s="30" t="n">
        <x:f>IF(E39=0,"",D39/E39)</x:f>
        <x:v>0.35833333333333334</x:v>
      </x:c>
      <x:c r="G39" s="26" t="n">
        <x:v>43</x:v>
      </x:c>
      <x:c r="H39" s="26" t="n">
        <x:v>120</x:v>
      </x:c>
      <x:c r="I39" s="32" t="str">
        <x:f>IF(AND(D39=G39,E39=H39),"KHỚP","LỖI")</x:f>
        <x:v>KHỚP</x:v>
      </x:c>
    </x:row>
    <x:row r="40" ht="39" customHeight="1">
      <x:c r="A40" s="12" t="str">
        <x:v>Q05</x:v>
      </x:c>
      <x:c r="B40" s="12" t="str">
        <x:v>every_2_3_months</x:v>
      </x:c>
      <x:c r="C40" s="12" t="str">
        <x:v>1 lần mỗi 2–3 tháng</x:v>
      </x:c>
      <x:c r="D40" s="29" t="n">
        <x:f>COUNTIFS('DuLieuGoc'!$G$6:$G$149,'Codebook'!$B$6,'DuLieuGoc'!$N$6:$N$149,B40)</x:f>
        <x:v>24</x:v>
      </x:c>
      <x:c r="E40" s="29" t="n">
        <x:f>COUNTIFS('DuLieuGoc'!$G$6:$G$149,'Codebook'!$B$6,'DuLieuGoc'!$N$6:$N$149,"&lt;&gt;")</x:f>
        <x:v>120</x:v>
      </x:c>
      <x:c r="F40" s="31" t="n">
        <x:f>IF(E40=0,"",D40/E40)</x:f>
        <x:v>0.2</x:v>
      </x:c>
      <x:c r="G40" s="27" t="n">
        <x:v>24</x:v>
      </x:c>
      <x:c r="H40" s="27" t="n">
        <x:v>120</x:v>
      </x:c>
      <x:c r="I40" s="33" t="str">
        <x:f>IF(AND(D40=G40,E40=H40),"KHỚP","LỖI")</x:f>
        <x:v>KHỚP</x:v>
      </x:c>
    </x:row>
    <x:row r="41" ht="39" customHeight="1">
      <x:c r="A41" s="11" t="str">
        <x:v>Q05</x:v>
      </x:c>
      <x:c r="B41" s="11" t="str">
        <x:v>less_often</x:v>
      </x:c>
      <x:c r="C41" s="11" t="str">
        <x:v>Ít hơn</x:v>
      </x:c>
      <x:c r="D41" s="28" t="n">
        <x:f>COUNTIFS('DuLieuGoc'!$G$6:$G$149,'Codebook'!$B$6,'DuLieuGoc'!$N$6:$N$149,B41)</x:f>
        <x:v>6</x:v>
      </x:c>
      <x:c r="E41" s="28" t="n">
        <x:f>COUNTIFS('DuLieuGoc'!$G$6:$G$149,'Codebook'!$B$6,'DuLieuGoc'!$N$6:$N$149,"&lt;&gt;")</x:f>
        <x:v>120</x:v>
      </x:c>
      <x:c r="F41" s="30" t="n">
        <x:f>IF(E41=0,"",D41/E41)</x:f>
        <x:v>0.05</x:v>
      </x:c>
      <x:c r="G41" s="26" t="n">
        <x:v>6</x:v>
      </x:c>
      <x:c r="H41" s="26" t="n">
        <x:v>120</x:v>
      </x:c>
      <x:c r="I41" s="32" t="str">
        <x:f>IF(AND(D41=G41,E41=H41),"KHỚP","LỖI")</x:f>
        <x:v>KHỚP</x:v>
      </x:c>
    </x:row>
    <x:row r="42" ht="39" customHeight="1">
      <x:c r="A42" s="12" t="str">
        <x:v>Q07</x:v>
      </x:c>
      <x:c r="B42" s="12" t="str">
        <x:v>under_300k</x:v>
      </x:c>
      <x:c r="C42" s="12" t="str">
        <x:v>Dưới 300.000đ</x:v>
      </x:c>
      <x:c r="D42" s="29" t="n">
        <x:f>COUNTIFS('DuLieuGoc'!$G$6:$G$149,'Codebook'!$B$6,'DuLieuGoc'!$U$6:$U$149,B42)</x:f>
        <x:v>24</x:v>
      </x:c>
      <x:c r="E42" s="29" t="n">
        <x:f>COUNTIFS('DuLieuGoc'!$G$6:$G$149,'Codebook'!$B$6,'DuLieuGoc'!$U$6:$U$149,"&lt;&gt;")</x:f>
        <x:v>120</x:v>
      </x:c>
      <x:c r="F42" s="31" t="n">
        <x:f>IF(E42=0,"",D42/E42)</x:f>
        <x:v>0.2</x:v>
      </x:c>
      <x:c r="G42" s="27" t="n">
        <x:v>24</x:v>
      </x:c>
      <x:c r="H42" s="27" t="n">
        <x:v>120</x:v>
      </x:c>
      <x:c r="I42" s="33" t="str">
        <x:f>IF(AND(D42=G42,E42=H42),"KHỚP","LỖI")</x:f>
        <x:v>KHỚP</x:v>
      </x:c>
    </x:row>
    <x:row r="43" ht="39" customHeight="1">
      <x:c r="A43" s="11" t="str">
        <x:v>Q07</x:v>
      </x:c>
      <x:c r="B43" s="11" t="str">
        <x:v>v300k_499k</x:v>
      </x:c>
      <x:c r="C43" s="11" t="str">
        <x:v>Từ 300.000đ đến dưới 500.000đ</x:v>
      </x:c>
      <x:c r="D43" s="28" t="n">
        <x:f>COUNTIFS('DuLieuGoc'!$G$6:$G$149,'Codebook'!$B$6,'DuLieuGoc'!$U$6:$U$149,B43)</x:f>
        <x:v>37</x:v>
      </x:c>
      <x:c r="E43" s="28" t="n">
        <x:f>COUNTIFS('DuLieuGoc'!$G$6:$G$149,'Codebook'!$B$6,'DuLieuGoc'!$U$6:$U$149,"&lt;&gt;")</x:f>
        <x:v>120</x:v>
      </x:c>
      <x:c r="F43" s="30" t="n">
        <x:f>IF(E43=0,"",D43/E43)</x:f>
        <x:v>0.30833333333333335</x:v>
      </x:c>
      <x:c r="G43" s="26" t="n">
        <x:v>37</x:v>
      </x:c>
      <x:c r="H43" s="26" t="n">
        <x:v>120</x:v>
      </x:c>
      <x:c r="I43" s="32" t="str">
        <x:f>IF(AND(D43=G43,E43=H43),"KHỚP","LỖI")</x:f>
        <x:v>KHỚP</x:v>
      </x:c>
    </x:row>
    <x:row r="44" ht="39" customHeight="1">
      <x:c r="A44" s="12" t="str">
        <x:v>Q07</x:v>
      </x:c>
      <x:c r="B44" s="12" t="str">
        <x:v>v500k_799k</x:v>
      </x:c>
      <x:c r="C44" s="12" t="str">
        <x:v>Từ 500.000đ đến dưới 800.000đ</x:v>
      </x:c>
      <x:c r="D44" s="29" t="n">
        <x:f>COUNTIFS('DuLieuGoc'!$G$6:$G$149,'Codebook'!$B$6,'DuLieuGoc'!$U$6:$U$149,B44)</x:f>
        <x:v>25</x:v>
      </x:c>
      <x:c r="E44" s="29" t="n">
        <x:f>COUNTIFS('DuLieuGoc'!$G$6:$G$149,'Codebook'!$B$6,'DuLieuGoc'!$U$6:$U$149,"&lt;&gt;")</x:f>
        <x:v>120</x:v>
      </x:c>
      <x:c r="F44" s="31" t="n">
        <x:f>IF(E44=0,"",D44/E44)</x:f>
        <x:v>0.20833333333333334</x:v>
      </x:c>
      <x:c r="G44" s="27" t="n">
        <x:v>25</x:v>
      </x:c>
      <x:c r="H44" s="27" t="n">
        <x:v>120</x:v>
      </x:c>
      <x:c r="I44" s="33" t="str">
        <x:f>IF(AND(D44=G44,E44=H44),"KHỚP","LỖI")</x:f>
        <x:v>KHỚP</x:v>
      </x:c>
    </x:row>
    <x:row r="45" ht="39" customHeight="1">
      <x:c r="A45" s="11" t="str">
        <x:v>Q07</x:v>
      </x:c>
      <x:c r="B45" s="11" t="str">
        <x:v>v800k_1199k</x:v>
      </x:c>
      <x:c r="C45" s="11" t="str">
        <x:v>Từ 800.000đ đến dưới 1.200.000đ</x:v>
      </x:c>
      <x:c r="D45" s="28" t="n">
        <x:f>COUNTIFS('DuLieuGoc'!$G$6:$G$149,'Codebook'!$B$6,'DuLieuGoc'!$U$6:$U$149,B45)</x:f>
        <x:v>24</x:v>
      </x:c>
      <x:c r="E45" s="28" t="n">
        <x:f>COUNTIFS('DuLieuGoc'!$G$6:$G$149,'Codebook'!$B$6,'DuLieuGoc'!$U$6:$U$149,"&lt;&gt;")</x:f>
        <x:v>120</x:v>
      </x:c>
      <x:c r="F45" s="30" t="n">
        <x:f>IF(E45=0,"",D45/E45)</x:f>
        <x:v>0.2</x:v>
      </x:c>
      <x:c r="G45" s="26" t="n">
        <x:v>24</x:v>
      </x:c>
      <x:c r="H45" s="26" t="n">
        <x:v>120</x:v>
      </x:c>
      <x:c r="I45" s="32" t="str">
        <x:f>IF(AND(D45=G45,E45=H45),"KHỚP","LỖI")</x:f>
        <x:v>KHỚP</x:v>
      </x:c>
    </x:row>
    <x:row r="46" ht="39" customHeight="1">
      <x:c r="A46" s="12" t="str">
        <x:v>Q07</x:v>
      </x:c>
      <x:c r="B46" s="12" t="str">
        <x:v>at_least_1200k</x:v>
      </x:c>
      <x:c r="C46" s="12" t="str">
        <x:v>Từ 1.200.000đ</x:v>
      </x:c>
      <x:c r="D46" s="29" t="n">
        <x:f>COUNTIFS('DuLieuGoc'!$G$6:$G$149,'Codebook'!$B$6,'DuLieuGoc'!$U$6:$U$149,B46)</x:f>
        <x:v>7</x:v>
      </x:c>
      <x:c r="E46" s="29" t="n">
        <x:f>COUNTIFS('DuLieuGoc'!$G$6:$G$149,'Codebook'!$B$6,'DuLieuGoc'!$U$6:$U$149,"&lt;&gt;")</x:f>
        <x:v>120</x:v>
      </x:c>
      <x:c r="F46" s="31" t="n">
        <x:f>IF(E46=0,"",D46/E46)</x:f>
        <x:v>0.058333333333333334</x:v>
      </x:c>
      <x:c r="G46" s="27" t="n">
        <x:v>7</x:v>
      </x:c>
      <x:c r="H46" s="27" t="n">
        <x:v>120</x:v>
      </x:c>
      <x:c r="I46" s="33" t="str">
        <x:f>IF(AND(D46=G46,E46=H46),"KHỚP","LỖI")</x:f>
        <x:v>KHỚP</x:v>
      </x:c>
    </x:row>
    <x:row r="47" ht="39" customHeight="1">
      <x:c r="A47" s="11" t="str">
        <x:v>Q07</x:v>
      </x:c>
      <x:c r="B47" s="11" t="str">
        <x:v>cannot_recall</x:v>
      </x:c>
      <x:c r="C47" s="11" t="str">
        <x:v>Không nhớ</x:v>
      </x:c>
      <x:c r="D47" s="28" t="n">
        <x:f>COUNTIFS('DuLieuGoc'!$G$6:$G$149,'Codebook'!$B$6,'DuLieuGoc'!$U$6:$U$149,B47)</x:f>
        <x:v>3</x:v>
      </x:c>
      <x:c r="E47" s="28" t="n">
        <x:f>COUNTIFS('DuLieuGoc'!$G$6:$G$149,'Codebook'!$B$6,'DuLieuGoc'!$U$6:$U$149,"&lt;&gt;")</x:f>
        <x:v>120</x:v>
      </x:c>
      <x:c r="F47" s="30" t="n">
        <x:f>IF(E47=0,"",D47/E47)</x:f>
        <x:v>0.025</x:v>
      </x:c>
      <x:c r="G47" s="26" t="n">
        <x:v>3</x:v>
      </x:c>
      <x:c r="H47" s="26" t="n">
        <x:v>120</x:v>
      </x:c>
      <x:c r="I47" s="32" t="str">
        <x:f>IF(AND(D47=G47,E47=H47),"KHỚP","LỖI")</x:f>
        <x:v>KHỚP</x:v>
      </x:c>
    </x:row>
    <x:row r="48" ht="39" customHeight="1">
      <x:c r="A48" s="12" t="str">
        <x:v>Q06</x:v>
      </x:c>
      <x:c r="B48" s="12" t="str">
        <x:v>marketplace</x:v>
      </x:c>
      <x:c r="C48" s="12" t="str">
        <x:v>Sàn thương mại điện tử</x:v>
      </x:c>
      <x:c r="D48" s="29" t="n">
        <x:f>SUMIFS('DuLieuGoc'!$O$6:$O$149,'DuLieuGoc'!$G$6:$G$149,'Codebook'!$B$6)</x:f>
        <x:v>102</x:v>
      </x:c>
      <x:c r="E48" s="29" t="n">
        <x:f>COUNTIFS('DuLieuGoc'!$G$6:$G$149,'Codebook'!$B$6,'DuLieuGoc'!$O$6:$O$149,"&lt;&gt;")</x:f>
        <x:v>120</x:v>
      </x:c>
      <x:c r="F48" s="31" t="n">
        <x:f>IF(E48=0,"",D48/E48)</x:f>
        <x:v>0.85</x:v>
      </x:c>
      <x:c r="G48" s="27" t="n">
        <x:v>102</x:v>
      </x:c>
      <x:c r="H48" s="27" t="n">
        <x:v>120</x:v>
      </x:c>
      <x:c r="I48" s="33" t="str">
        <x:f>IF(AND(D48=G48,E48=H48),"KHỚP","LỖI")</x:f>
        <x:v>KHỚP</x:v>
      </x:c>
    </x:row>
    <x:row r="49" ht="39" customHeight="1">
      <x:c r="A49" s="11" t="str">
        <x:v>Q06</x:v>
      </x:c>
      <x:c r="B49" s="11" t="str">
        <x:v>social_chat</x:v>
      </x:c>
      <x:c r="C49" s="11" t="str">
        <x:v>Mạng xã hội, tin nhắn</x:v>
      </x:c>
      <x:c r="D49" s="28" t="n">
        <x:f>SUMIFS('DuLieuGoc'!$P$6:$P$149,'DuLieuGoc'!$G$6:$G$149,'Codebook'!$B$6)</x:f>
        <x:v>70</x:v>
      </x:c>
      <x:c r="E49" s="28" t="n">
        <x:f>COUNTIFS('DuLieuGoc'!$G$6:$G$149,'Codebook'!$B$6,'DuLieuGoc'!$O$6:$O$149,"&lt;&gt;")</x:f>
        <x:v>120</x:v>
      </x:c>
      <x:c r="F49" s="30" t="n">
        <x:f>IF(E49=0,"",D49/E49)</x:f>
        <x:v>0.5833333333333334</x:v>
      </x:c>
      <x:c r="G49" s="26" t="n">
        <x:v>70</x:v>
      </x:c>
      <x:c r="H49" s="26" t="n">
        <x:v>120</x:v>
      </x:c>
      <x:c r="I49" s="32" t="str">
        <x:f>IF(AND(D49=G49,E49=H49),"KHỚP","LỖI")</x:f>
        <x:v>KHỚP</x:v>
      </x:c>
    </x:row>
    <x:row r="50" ht="39" customHeight="1">
      <x:c r="A50" s="12" t="str">
        <x:v>Q06</x:v>
      </x:c>
      <x:c r="B50" s="12" t="str">
        <x:v>livestream</x:v>
      </x:c>
      <x:c r="C50" s="12" t="str">
        <x:v>Buổi bán hàng trực tiếp</x:v>
      </x:c>
      <x:c r="D50" s="29" t="n">
        <x:f>SUMIFS('DuLieuGoc'!$Q$6:$Q$149,'DuLieuGoc'!$G$6:$G$149,'Codebook'!$B$6)</x:f>
        <x:v>43</x:v>
      </x:c>
      <x:c r="E50" s="29" t="n">
        <x:f>COUNTIFS('DuLieuGoc'!$G$6:$G$149,'Codebook'!$B$6,'DuLieuGoc'!$O$6:$O$149,"&lt;&gt;")</x:f>
        <x:v>120</x:v>
      </x:c>
      <x:c r="F50" s="31" t="n">
        <x:f>IF(E50=0,"",D50/E50)</x:f>
        <x:v>0.35833333333333334</x:v>
      </x:c>
      <x:c r="G50" s="27" t="n">
        <x:v>43</x:v>
      </x:c>
      <x:c r="H50" s="27" t="n">
        <x:v>120</x:v>
      </x:c>
      <x:c r="I50" s="33" t="str">
        <x:f>IF(AND(D50=G50,E50=H50),"KHỚP","LỖI")</x:f>
        <x:v>KHỚP</x:v>
      </x:c>
    </x:row>
    <x:row r="51" ht="39" customHeight="1">
      <x:c r="A51" s="11" t="str">
        <x:v>Q06</x:v>
      </x:c>
      <x:c r="B51" s="11" t="str">
        <x:v>brand_website</x:v>
      </x:c>
      <x:c r="C51" s="11" t="str">
        <x:v>Website thương hiệu</x:v>
      </x:c>
      <x:c r="D51" s="28" t="n">
        <x:f>SUMIFS('DuLieuGoc'!$R$6:$R$149,'DuLieuGoc'!$G$6:$G$149,'Codebook'!$B$6)</x:f>
        <x:v>43</x:v>
      </x:c>
      <x:c r="E51" s="28" t="n">
        <x:f>COUNTIFS('DuLieuGoc'!$G$6:$G$149,'Codebook'!$B$6,'DuLieuGoc'!$O$6:$O$149,"&lt;&gt;")</x:f>
        <x:v>120</x:v>
      </x:c>
      <x:c r="F51" s="30" t="n">
        <x:f>IF(E51=0,"",D51/E51)</x:f>
        <x:v>0.35833333333333334</x:v>
      </x:c>
      <x:c r="G51" s="26" t="n">
        <x:v>43</x:v>
      </x:c>
      <x:c r="H51" s="26" t="n">
        <x:v>120</x:v>
      </x:c>
      <x:c r="I51" s="32" t="str">
        <x:f>IF(AND(D51=G51,E51=H51),"KHỚP","LỖI")</x:f>
        <x:v>KHỚP</x:v>
      </x:c>
    </x:row>
    <x:row r="52" ht="39" customHeight="1">
      <x:c r="A52" s="12" t="str">
        <x:v>Q06</x:v>
      </x:c>
      <x:c r="B52" s="12" t="str">
        <x:v>other</x:v>
      </x:c>
      <x:c r="C52" s="12" t="str">
        <x:v>Khác</x:v>
      </x:c>
      <x:c r="D52" s="29" t="n">
        <x:f>SUMIFS('DuLieuGoc'!$S$6:$S$149,'DuLieuGoc'!$G$6:$G$149,'Codebook'!$B$6)</x:f>
        <x:v>9</x:v>
      </x:c>
      <x:c r="E52" s="29" t="n">
        <x:f>COUNTIFS('DuLieuGoc'!$G$6:$G$149,'Codebook'!$B$6,'DuLieuGoc'!$O$6:$O$149,"&lt;&gt;")</x:f>
        <x:v>120</x:v>
      </x:c>
      <x:c r="F52" s="31" t="n">
        <x:f>IF(E52=0,"",D52/E52)</x:f>
        <x:v>0.075</x:v>
      </x:c>
      <x:c r="G52" s="27" t="n">
        <x:v>9</x:v>
      </x:c>
      <x:c r="H52" s="27" t="n">
        <x:v>120</x:v>
      </x:c>
      <x:c r="I52" s="33" t="str">
        <x:f>IF(AND(D52=G52,E52=H52),"KHỚP","LỖI")</x:f>
        <x:v>KHỚP</x:v>
      </x:c>
    </x:row>
    <x:row r="53" ht="39" customHeight="1">
      <x:c r="A53" s="11" t="str">
        <x:v>Q08</x:v>
      </x:c>
      <x:c r="B53" s="11" t="str">
        <x:v>size_uncertain</x:v>
      </x:c>
      <x:c r="C53" s="11" t="str">
        <x:v>Không chắc cỡ phù hợp</x:v>
      </x:c>
      <x:c r="D53" s="28" t="n">
        <x:f>SUMIFS('DuLieuGoc'!$V$6:$V$149,'DuLieuGoc'!$G$6:$G$149,'Codebook'!$B$6)</x:f>
        <x:v>74</x:v>
      </x:c>
      <x:c r="E53" s="28" t="n">
        <x:f>COUNTIFS('DuLieuGoc'!$G$6:$G$149,'Codebook'!$B$6,'DuLieuGoc'!$V$6:$V$149,"&lt;&gt;")</x:f>
        <x:v>120</x:v>
      </x:c>
      <x:c r="F53" s="30" t="n">
        <x:f>IF(E53=0,"",D53/E53)</x:f>
        <x:v>0.6166666666666667</x:v>
      </x:c>
      <x:c r="G53" s="26" t="n">
        <x:v>74</x:v>
      </x:c>
      <x:c r="H53" s="26" t="n">
        <x:v>120</x:v>
      </x:c>
      <x:c r="I53" s="32" t="str">
        <x:f>IF(AND(D53=G53,E53=H53),"KHỚP","LỖI")</x:f>
        <x:v>KHỚP</x:v>
      </x:c>
    </x:row>
    <x:row r="54" ht="39" customHeight="1">
      <x:c r="A54" s="12" t="str">
        <x:v>Q08</x:v>
      </x:c>
      <x:c r="B54" s="12" t="str">
        <x:v>photo_mismatch</x:v>
      </x:c>
      <x:c r="C54" s="12" t="str">
        <x:v>Hàng khác ảnh hoặc mô tả</x:v>
      </x:c>
      <x:c r="D54" s="29" t="n">
        <x:f>SUMIFS('DuLieuGoc'!$W$6:$W$149,'DuLieuGoc'!$G$6:$G$149,'Codebook'!$B$6)</x:f>
        <x:v>70</x:v>
      </x:c>
      <x:c r="E54" s="29" t="n">
        <x:f>COUNTIFS('DuLieuGoc'!$G$6:$G$149,'Codebook'!$B$6,'DuLieuGoc'!$V$6:$V$149,"&lt;&gt;")</x:f>
        <x:v>120</x:v>
      </x:c>
      <x:c r="F54" s="31" t="n">
        <x:f>IF(E54=0,"",D54/E54)</x:f>
        <x:v>0.5833333333333334</x:v>
      </x:c>
      <x:c r="G54" s="27" t="n">
        <x:v>70</x:v>
      </x:c>
      <x:c r="H54" s="27" t="n">
        <x:v>120</x:v>
      </x:c>
      <x:c r="I54" s="33" t="str">
        <x:f>IF(AND(D54=G54,E54=H54),"KHỚP","LỖI")</x:f>
        <x:v>KHỚP</x:v>
      </x:c>
    </x:row>
    <x:row r="55" ht="39" customHeight="1">
      <x:c r="A55" s="11" t="str">
        <x:v>Q08</x:v>
      </x:c>
      <x:c r="B55" s="11" t="str">
        <x:v>returns_unclear</x:v>
      </x:c>
      <x:c r="C55" s="11" t="str">
        <x:v>Đổi trả khó hoặc chưa rõ</x:v>
      </x:c>
      <x:c r="D55" s="28" t="n">
        <x:f>SUMIFS('DuLieuGoc'!$X$6:$X$149,'DuLieuGoc'!$G$6:$G$149,'Codebook'!$B$6)</x:f>
        <x:v>49</x:v>
      </x:c>
      <x:c r="E55" s="28" t="n">
        <x:f>COUNTIFS('DuLieuGoc'!$G$6:$G$149,'Codebook'!$B$6,'DuLieuGoc'!$V$6:$V$149,"&lt;&gt;")</x:f>
        <x:v>120</x:v>
      </x:c>
      <x:c r="F55" s="30" t="n">
        <x:f>IF(E55=0,"",D55/E55)</x:f>
        <x:v>0.4083333333333333</x:v>
      </x:c>
      <x:c r="G55" s="26" t="n">
        <x:v>49</x:v>
      </x:c>
      <x:c r="H55" s="26" t="n">
        <x:v>120</x:v>
      </x:c>
      <x:c r="I55" s="32" t="str">
        <x:f>IF(AND(D55=G55,E55=H55),"KHỚP","LỖI")</x:f>
        <x:v>KHỚP</x:v>
      </x:c>
    </x:row>
    <x:row r="56" ht="39" customHeight="1">
      <x:c r="A56" s="12" t="str">
        <x:v>Q08</x:v>
      </x:c>
      <x:c r="B56" s="12" t="str">
        <x:v>late_total</x:v>
      </x:c>
      <x:c r="C56" s="12" t="str">
        <x:v>Phí hoặc tổng tiền xuất hiện muộn</x:v>
      </x:c>
      <x:c r="D56" s="29" t="n">
        <x:f>SUMIFS('DuLieuGoc'!$Y$6:$Y$149,'DuLieuGoc'!$G$6:$G$149,'Codebook'!$B$6)</x:f>
        <x:v>46</x:v>
      </x:c>
      <x:c r="E56" s="29" t="n">
        <x:f>COUNTIFS('DuLieuGoc'!$G$6:$G$149,'Codebook'!$B$6,'DuLieuGoc'!$V$6:$V$149,"&lt;&gt;")</x:f>
        <x:v>120</x:v>
      </x:c>
      <x:c r="F56" s="31" t="n">
        <x:f>IF(E56=0,"",D56/E56)</x:f>
        <x:v>0.38333333333333336</x:v>
      </x:c>
      <x:c r="G56" s="27" t="n">
        <x:v>46</x:v>
      </x:c>
      <x:c r="H56" s="27" t="n">
        <x:v>120</x:v>
      </x:c>
      <x:c r="I56" s="33" t="str">
        <x:f>IF(AND(D56=G56,E56=H56),"KHỚP","LỖI")</x:f>
        <x:v>KHỚP</x:v>
      </x:c>
    </x:row>
    <x:row r="57" ht="39" customHeight="1">
      <x:c r="A57" s="11" t="str">
        <x:v>Q08</x:v>
      </x:c>
      <x:c r="B57" s="11" t="str">
        <x:v>stock_unclear</x:v>
      </x:c>
      <x:c r="C57" s="11" t="str">
        <x:v>Không rõ cỡ, màu còn hàng</x:v>
      </x:c>
      <x:c r="D57" s="28" t="n">
        <x:f>SUMIFS('DuLieuGoc'!$Z$6:$Z$149,'DuLieuGoc'!$G$6:$G$149,'Codebook'!$B$6)</x:f>
        <x:v>53</x:v>
      </x:c>
      <x:c r="E57" s="28" t="n">
        <x:f>COUNTIFS('DuLieuGoc'!$G$6:$G$149,'Codebook'!$B$6,'DuLieuGoc'!$V$6:$V$149,"&lt;&gt;")</x:f>
        <x:v>120</x:v>
      </x:c>
      <x:c r="F57" s="30" t="n">
        <x:f>IF(E57=0,"",D57/E57)</x:f>
        <x:v>0.44166666666666665</x:v>
      </x:c>
      <x:c r="G57" s="26" t="n">
        <x:v>53</x:v>
      </x:c>
      <x:c r="H57" s="26" t="n">
        <x:v>120</x:v>
      </x:c>
      <x:c r="I57" s="32" t="str">
        <x:f>IF(AND(D57=G57,E57=H57),"KHỚP","LỖI")</x:f>
        <x:v>KHỚP</x:v>
      </x:c>
    </x:row>
    <x:row r="58" ht="39" customHeight="1">
      <x:c r="A58" s="12" t="str">
        <x:v>Q08</x:v>
      </x:c>
      <x:c r="B58" s="12" t="str">
        <x:v>tracking_unclear</x:v>
      </x:c>
      <x:c r="C58" s="12" t="str">
        <x:v>Thông tin theo dõi đơn chưa rõ</x:v>
      </x:c>
      <x:c r="D58" s="29" t="n">
        <x:f>SUMIFS('DuLieuGoc'!$AA$6:$AA$149,'DuLieuGoc'!$G$6:$G$149,'Codebook'!$B$6)</x:f>
        <x:v>30</x:v>
      </x:c>
      <x:c r="E58" s="29" t="n">
        <x:f>COUNTIFS('DuLieuGoc'!$G$6:$G$149,'Codebook'!$B$6,'DuLieuGoc'!$V$6:$V$149,"&lt;&gt;")</x:f>
        <x:v>120</x:v>
      </x:c>
      <x:c r="F58" s="31" t="n">
        <x:f>IF(E58=0,"",D58/E58)</x:f>
        <x:v>0.25</x:v>
      </x:c>
      <x:c r="G58" s="27" t="n">
        <x:v>30</x:v>
      </x:c>
      <x:c r="H58" s="27" t="n">
        <x:v>120</x:v>
      </x:c>
      <x:c r="I58" s="33" t="str">
        <x:f>IF(AND(D58=G58,E58=H58),"KHỚP","LỖI")</x:f>
        <x:v>KHỚP</x:v>
      </x:c>
    </x:row>
    <x:row r="59" ht="39" customHeight="1">
      <x:c r="A59" s="11" t="str">
        <x:v>Q08</x:v>
      </x:c>
      <x:c r="B59" s="11" t="str">
        <x:v>payment_concern</x:v>
      </x:c>
      <x:c r="C59" s="11" t="str">
        <x:v>Lo ngại thanh toán trực tuyến</x:v>
      </x:c>
      <x:c r="D59" s="28" t="n">
        <x:f>SUMIFS('DuLieuGoc'!$AB$6:$AB$149,'DuLieuGoc'!$G$6:$G$149,'Codebook'!$B$6)</x:f>
        <x:v>40</x:v>
      </x:c>
      <x:c r="E59" s="28" t="n">
        <x:f>COUNTIFS('DuLieuGoc'!$G$6:$G$149,'Codebook'!$B$6,'DuLieuGoc'!$V$6:$V$149,"&lt;&gt;")</x:f>
        <x:v>120</x:v>
      </x:c>
      <x:c r="F59" s="30" t="n">
        <x:f>IF(E59=0,"",D59/E59)</x:f>
        <x:v>0.3333333333333333</x:v>
      </x:c>
      <x:c r="G59" s="26" t="n">
        <x:v>40</x:v>
      </x:c>
      <x:c r="H59" s="26" t="n">
        <x:v>120</x:v>
      </x:c>
      <x:c r="I59" s="32" t="str">
        <x:f>IF(AND(D59=G59,E59=H59),"KHỚP","LỖI")</x:f>
        <x:v>KHỚP</x:v>
      </x:c>
    </x:row>
    <x:row r="60" ht="39" customHeight="1">
      <x:c r="A60" s="12" t="str">
        <x:v>Q08</x:v>
      </x:c>
      <x:c r="B60" s="12" t="str">
        <x:v>none</x:v>
      </x:c>
      <x:c r="C60" s="12" t="str">
        <x:v>Không gặp vấn đề nào</x:v>
      </x:c>
      <x:c r="D60" s="29" t="n">
        <x:f>SUMIFS('DuLieuGoc'!$AC$6:$AC$149,'DuLieuGoc'!$G$6:$G$149,'Codebook'!$B$6)</x:f>
        <x:v>5</x:v>
      </x:c>
      <x:c r="E60" s="29" t="n">
        <x:f>COUNTIFS('DuLieuGoc'!$G$6:$G$149,'Codebook'!$B$6,'DuLieuGoc'!$V$6:$V$149,"&lt;&gt;")</x:f>
        <x:v>120</x:v>
      </x:c>
      <x:c r="F60" s="31" t="n">
        <x:f>IF(E60=0,"",D60/E60)</x:f>
        <x:v>0.041666666666666664</x:v>
      </x:c>
      <x:c r="G60" s="27" t="n">
        <x:v>5</x:v>
      </x:c>
      <x:c r="H60" s="27" t="n">
        <x:v>120</x:v>
      </x:c>
      <x:c r="I60" s="33" t="str">
        <x:f>IF(AND(D60=G60,E60=H60),"KHỚP","LỖI")</x:f>
        <x:v>KHỚP</x:v>
      </x:c>
    </x:row>
    <x:row r="61" ht="39" customHeight="1">
      <x:c r="A61" s="11" t="str">
        <x:v>Q08</x:v>
      </x:c>
      <x:c r="B61" s="11" t="str">
        <x:v>other</x:v>
      </x:c>
      <x:c r="C61" s="11" t="str">
        <x:v>Khác</x:v>
      </x:c>
      <x:c r="D61" s="28" t="n">
        <x:f>SUMIFS('DuLieuGoc'!$AD$6:$AD$149,'DuLieuGoc'!$G$6:$G$149,'Codebook'!$B$6)</x:f>
        <x:v>5</x:v>
      </x:c>
      <x:c r="E61" s="28" t="n">
        <x:f>COUNTIFS('DuLieuGoc'!$G$6:$G$149,'Codebook'!$B$6,'DuLieuGoc'!$V$6:$V$149,"&lt;&gt;")</x:f>
        <x:v>120</x:v>
      </x:c>
      <x:c r="F61" s="30" t="n">
        <x:f>IF(E61=0,"",D61/E61)</x:f>
        <x:v>0.041666666666666664</x:v>
      </x:c>
      <x:c r="G61" s="26" t="n">
        <x:v>5</x:v>
      </x:c>
      <x:c r="H61" s="26" t="n">
        <x:v>120</x:v>
      </x:c>
      <x:c r="I61" s="32" t="str">
        <x:f>IF(AND(D61=G61,E61=H61),"KHỚP","LỖI")</x:f>
        <x:v>KHỚP</x:v>
      </x:c>
    </x:row>
    <x:row r="62" ht="39" customHeight="1">
      <x:c r="A62" s="12" t="str">
        <x:v>Q09a</x:v>
      </x:c>
      <x:c r="B62" s="12" t="str">
        <x:v>size_uncertain</x:v>
      </x:c>
      <x:c r="C62" s="12" t="str">
        <x:v>Không chắc cỡ phù hợp</x:v>
      </x:c>
      <x:c r="D62" s="29" t="n">
        <x:f>COUNTIFS('DuLieuGoc'!$G$6:$G$149,'Codebook'!$B$6,'DuLieuGoc'!$AF$6:$AF$149,B62)</x:f>
        <x:v>35</x:v>
      </x:c>
      <x:c r="E62" s="29" t="n">
        <x:f>COUNTIFS('DuLieuGoc'!$G$6:$G$149,'Codebook'!$B$6,'DuLieuGoc'!$AF$6:$AF$149,"&lt;&gt;")</x:f>
        <x:v>115</x:v>
      </x:c>
      <x:c r="F62" s="31" t="n">
        <x:f>IF(E62=0,"",D62/E62)</x:f>
        <x:v>0.30434782608695654</x:v>
      </x:c>
      <x:c r="G62" s="27" t="n">
        <x:v>35</x:v>
      </x:c>
      <x:c r="H62" s="27" t="n">
        <x:v>115</x:v>
      </x:c>
      <x:c r="I62" s="33" t="str">
        <x:f>IF(AND(D62=G62,E62=H62),"KHỚP","LỖI")</x:f>
        <x:v>KHỚP</x:v>
      </x:c>
    </x:row>
    <x:row r="63" ht="39" customHeight="1">
      <x:c r="A63" s="11" t="str">
        <x:v>Q09a</x:v>
      </x:c>
      <x:c r="B63" s="11" t="str">
        <x:v>photo_mismatch</x:v>
      </x:c>
      <x:c r="C63" s="11" t="str">
        <x:v>Hàng khác ảnh hoặc mô tả</x:v>
      </x:c>
      <x:c r="D63" s="28" t="n">
        <x:f>COUNTIFS('DuLieuGoc'!$G$6:$G$149,'Codebook'!$B$6,'DuLieuGoc'!$AF$6:$AF$149,B63)</x:f>
        <x:v>17</x:v>
      </x:c>
      <x:c r="E63" s="28" t="n">
        <x:f>COUNTIFS('DuLieuGoc'!$G$6:$G$149,'Codebook'!$B$6,'DuLieuGoc'!$AF$6:$AF$149,"&lt;&gt;")</x:f>
        <x:v>115</x:v>
      </x:c>
      <x:c r="F63" s="30" t="n">
        <x:f>IF(E63=0,"",D63/E63)</x:f>
        <x:v>0.14782608695652175</x:v>
      </x:c>
      <x:c r="G63" s="26" t="n">
        <x:v>17</x:v>
      </x:c>
      <x:c r="H63" s="26" t="n">
        <x:v>115</x:v>
      </x:c>
      <x:c r="I63" s="32" t="str">
        <x:f>IF(AND(D63=G63,E63=H63),"KHỚP","LỖI")</x:f>
        <x:v>KHỚP</x:v>
      </x:c>
    </x:row>
    <x:row r="64" ht="39" customHeight="1">
      <x:c r="A64" s="12" t="str">
        <x:v>Q09a</x:v>
      </x:c>
      <x:c r="B64" s="12" t="str">
        <x:v>returns_unclear</x:v>
      </x:c>
      <x:c r="C64" s="12" t="str">
        <x:v>Đổi trả khó hoặc chưa rõ</x:v>
      </x:c>
      <x:c r="D64" s="29" t="n">
        <x:f>COUNTIFS('DuLieuGoc'!$G$6:$G$149,'Codebook'!$B$6,'DuLieuGoc'!$AF$6:$AF$149,B64)</x:f>
        <x:v>11</x:v>
      </x:c>
      <x:c r="E64" s="29" t="n">
        <x:f>COUNTIFS('DuLieuGoc'!$G$6:$G$149,'Codebook'!$B$6,'DuLieuGoc'!$AF$6:$AF$149,"&lt;&gt;")</x:f>
        <x:v>115</x:v>
      </x:c>
      <x:c r="F64" s="31" t="n">
        <x:f>IF(E64=0,"",D64/E64)</x:f>
        <x:v>0.09565217391304348</x:v>
      </x:c>
      <x:c r="G64" s="27" t="n">
        <x:v>11</x:v>
      </x:c>
      <x:c r="H64" s="27" t="n">
        <x:v>115</x:v>
      </x:c>
      <x:c r="I64" s="33" t="str">
        <x:f>IF(AND(D64=G64,E64=H64),"KHỚP","LỖI")</x:f>
        <x:v>KHỚP</x:v>
      </x:c>
    </x:row>
    <x:row r="65" ht="39" customHeight="1">
      <x:c r="A65" s="11" t="str">
        <x:v>Q09a</x:v>
      </x:c>
      <x:c r="B65" s="11" t="str">
        <x:v>late_total</x:v>
      </x:c>
      <x:c r="C65" s="11" t="str">
        <x:v>Phí hoặc tổng tiền xuất hiện muộn</x:v>
      </x:c>
      <x:c r="D65" s="28" t="n">
        <x:f>COUNTIFS('DuLieuGoc'!$G$6:$G$149,'Codebook'!$B$6,'DuLieuGoc'!$AF$6:$AF$149,B65)</x:f>
        <x:v>14</x:v>
      </x:c>
      <x:c r="E65" s="28" t="n">
        <x:f>COUNTIFS('DuLieuGoc'!$G$6:$G$149,'Codebook'!$B$6,'DuLieuGoc'!$AF$6:$AF$149,"&lt;&gt;")</x:f>
        <x:v>115</x:v>
      </x:c>
      <x:c r="F65" s="30" t="n">
        <x:f>IF(E65=0,"",D65/E65)</x:f>
        <x:v>0.12173913043478261</x:v>
      </x:c>
      <x:c r="G65" s="26" t="n">
        <x:v>14</x:v>
      </x:c>
      <x:c r="H65" s="26" t="n">
        <x:v>115</x:v>
      </x:c>
      <x:c r="I65" s="32" t="str">
        <x:f>IF(AND(D65=G65,E65=H65),"KHỚP","LỖI")</x:f>
        <x:v>KHỚP</x:v>
      </x:c>
    </x:row>
    <x:row r="66" ht="39" customHeight="1">
      <x:c r="A66" s="12" t="str">
        <x:v>Q09a</x:v>
      </x:c>
      <x:c r="B66" s="12" t="str">
        <x:v>stock_unclear</x:v>
      </x:c>
      <x:c r="C66" s="12" t="str">
        <x:v>Không rõ cỡ, màu còn hàng</x:v>
      </x:c>
      <x:c r="D66" s="29" t="n">
        <x:f>COUNTIFS('DuLieuGoc'!$G$6:$G$149,'Codebook'!$B$6,'DuLieuGoc'!$AF$6:$AF$149,B66)</x:f>
        <x:v>15</x:v>
      </x:c>
      <x:c r="E66" s="29" t="n">
        <x:f>COUNTIFS('DuLieuGoc'!$G$6:$G$149,'Codebook'!$B$6,'DuLieuGoc'!$AF$6:$AF$149,"&lt;&gt;")</x:f>
        <x:v>115</x:v>
      </x:c>
      <x:c r="F66" s="31" t="n">
        <x:f>IF(E66=0,"",D66/E66)</x:f>
        <x:v>0.13043478260869565</x:v>
      </x:c>
      <x:c r="G66" s="27" t="n">
        <x:v>15</x:v>
      </x:c>
      <x:c r="H66" s="27" t="n">
        <x:v>115</x:v>
      </x:c>
      <x:c r="I66" s="33" t="str">
        <x:f>IF(AND(D66=G66,E66=H66),"KHỚP","LỖI")</x:f>
        <x:v>KHỚP</x:v>
      </x:c>
    </x:row>
    <x:row r="67" ht="39" customHeight="1">
      <x:c r="A67" s="11" t="str">
        <x:v>Q09a</x:v>
      </x:c>
      <x:c r="B67" s="11" t="str">
        <x:v>tracking_unclear</x:v>
      </x:c>
      <x:c r="C67" s="11" t="str">
        <x:v>Thông tin theo dõi đơn chưa rõ</x:v>
      </x:c>
      <x:c r="D67" s="28" t="n">
        <x:f>COUNTIFS('DuLieuGoc'!$G$6:$G$149,'Codebook'!$B$6,'DuLieuGoc'!$AF$6:$AF$149,B67)</x:f>
        <x:v>8</x:v>
      </x:c>
      <x:c r="E67" s="28" t="n">
        <x:f>COUNTIFS('DuLieuGoc'!$G$6:$G$149,'Codebook'!$B$6,'DuLieuGoc'!$AF$6:$AF$149,"&lt;&gt;")</x:f>
        <x:v>115</x:v>
      </x:c>
      <x:c r="F67" s="30" t="n">
        <x:f>IF(E67=0,"",D67/E67)</x:f>
        <x:v>0.06956521739130435</x:v>
      </x:c>
      <x:c r="G67" s="26" t="n">
        <x:v>8</x:v>
      </x:c>
      <x:c r="H67" s="26" t="n">
        <x:v>115</x:v>
      </x:c>
      <x:c r="I67" s="32" t="str">
        <x:f>IF(AND(D67=G67,E67=H67),"KHỚP","LỖI")</x:f>
        <x:v>KHỚP</x:v>
      </x:c>
    </x:row>
    <x:row r="68" ht="39" customHeight="1">
      <x:c r="A68" s="12" t="str">
        <x:v>Q09a</x:v>
      </x:c>
      <x:c r="B68" s="12" t="str">
        <x:v>payment_concern</x:v>
      </x:c>
      <x:c r="C68" s="12" t="str">
        <x:v>Lo ngại thanh toán trực tuyến</x:v>
      </x:c>
      <x:c r="D68" s="29" t="n">
        <x:f>COUNTIFS('DuLieuGoc'!$G$6:$G$149,'Codebook'!$B$6,'DuLieuGoc'!$AF$6:$AF$149,B68)</x:f>
        <x:v>14</x:v>
      </x:c>
      <x:c r="E68" s="29" t="n">
        <x:f>COUNTIFS('DuLieuGoc'!$G$6:$G$149,'Codebook'!$B$6,'DuLieuGoc'!$AF$6:$AF$149,"&lt;&gt;")</x:f>
        <x:v>115</x:v>
      </x:c>
      <x:c r="F68" s="31" t="n">
        <x:f>IF(E68=0,"",D68/E68)</x:f>
        <x:v>0.12173913043478261</x:v>
      </x:c>
      <x:c r="G68" s="27" t="n">
        <x:v>14</x:v>
      </x:c>
      <x:c r="H68" s="27" t="n">
        <x:v>115</x:v>
      </x:c>
      <x:c r="I68" s="33" t="str">
        <x:f>IF(AND(D68=G68,E68=H68),"KHỚP","LỖI")</x:f>
        <x:v>KHỚP</x:v>
      </x:c>
    </x:row>
    <x:row r="69" ht="39" customHeight="1">
      <x:c r="A69" s="11" t="str">
        <x:v>Q09a</x:v>
      </x:c>
      <x:c r="B69" s="11" t="str">
        <x:v>other</x:v>
      </x:c>
      <x:c r="C69" s="11" t="str">
        <x:v>Khác</x:v>
      </x:c>
      <x:c r="D69" s="28" t="n">
        <x:f>COUNTIFS('DuLieuGoc'!$G$6:$G$149,'Codebook'!$B$6,'DuLieuGoc'!$AF$6:$AF$149,B69)</x:f>
        <x:v>1</x:v>
      </x:c>
      <x:c r="E69" s="28" t="n">
        <x:f>COUNTIFS('DuLieuGoc'!$G$6:$G$149,'Codebook'!$B$6,'DuLieuGoc'!$AF$6:$AF$149,"&lt;&gt;")</x:f>
        <x:v>115</x:v>
      </x:c>
      <x:c r="F69" s="30" t="n">
        <x:f>IF(E69=0,"",D69/E69)</x:f>
        <x:v>0.008695652173913044</x:v>
      </x:c>
      <x:c r="G69" s="26" t="n">
        <x:v>1</x:v>
      </x:c>
      <x:c r="H69" s="26" t="n">
        <x:v>115</x:v>
      </x:c>
      <x:c r="I69" s="32" t="str">
        <x:f>IF(AND(D69=G69,E69=H69),"KHỚP","LỖI")</x:f>
        <x:v>KHỚP</x:v>
      </x:c>
    </x:row>
    <x:row r="70" ht="39" customHeight="1">
      <x:c r="A70" s="12" t="str">
        <x:v>Q10</x:v>
      </x:c>
      <x:c r="B70" s="12" t="str">
        <x:v>yes</x:v>
      </x:c>
      <x:c r="C70" s="12" t="str">
        <x:v>Có</x:v>
      </x:c>
      <x:c r="D70" s="29" t="n">
        <x:f>COUNTIFS('DuLieuGoc'!$G$6:$G$149,'Codebook'!$B$6,'DuLieuGoc'!$AH$6:$AH$149,B70)</x:f>
        <x:v>60</x:v>
      </x:c>
      <x:c r="E70" s="29" t="n">
        <x:f>COUNTIFS('DuLieuGoc'!$G$6:$G$149,'Codebook'!$B$6,'DuLieuGoc'!$AH$6:$AH$149,"&lt;&gt;")</x:f>
        <x:v>120</x:v>
      </x:c>
      <x:c r="F70" s="31" t="n">
        <x:f>IF(E70=0,"",D70/E70)</x:f>
        <x:v>0.5</x:v>
      </x:c>
      <x:c r="G70" s="27" t="n">
        <x:v>60</x:v>
      </x:c>
      <x:c r="H70" s="27" t="n">
        <x:v>120</x:v>
      </x:c>
      <x:c r="I70" s="33" t="str">
        <x:f>IF(AND(D70=G70,E70=H70),"KHỚP","LỖI")</x:f>
        <x:v>KHỚP</x:v>
      </x:c>
    </x:row>
    <x:row r="71" ht="39" customHeight="1">
      <x:c r="A71" s="11" t="str">
        <x:v>Q10</x:v>
      </x:c>
      <x:c r="B71" s="11" t="str">
        <x:v>no</x:v>
      </x:c>
      <x:c r="C71" s="11" t="str">
        <x:v>Không</x:v>
      </x:c>
      <x:c r="D71" s="28" t="n">
        <x:f>COUNTIFS('DuLieuGoc'!$G$6:$G$149,'Codebook'!$B$6,'DuLieuGoc'!$AH$6:$AH$149,B71)</x:f>
        <x:v>52</x:v>
      </x:c>
      <x:c r="E71" s="28" t="n">
        <x:f>COUNTIFS('DuLieuGoc'!$G$6:$G$149,'Codebook'!$B$6,'DuLieuGoc'!$AH$6:$AH$149,"&lt;&gt;")</x:f>
        <x:v>120</x:v>
      </x:c>
      <x:c r="F71" s="30" t="n">
        <x:f>IF(E71=0,"",D71/E71)</x:f>
        <x:v>0.43333333333333335</x:v>
      </x:c>
      <x:c r="G71" s="26" t="n">
        <x:v>52</x:v>
      </x:c>
      <x:c r="H71" s="26" t="n">
        <x:v>120</x:v>
      </x:c>
      <x:c r="I71" s="32" t="str">
        <x:f>IF(AND(D71=G71,E71=H71),"KHỚP","LỖI")</x:f>
        <x:v>KHỚP</x:v>
      </x:c>
    </x:row>
    <x:row r="72" ht="39" customHeight="1">
      <x:c r="A72" s="12" t="str">
        <x:v>Q10</x:v>
      </x:c>
      <x:c r="B72" s="12" t="str">
        <x:v>cannot_recall</x:v>
      </x:c>
      <x:c r="C72" s="12" t="str">
        <x:v>Không nhớ</x:v>
      </x:c>
      <x:c r="D72" s="29" t="n">
        <x:f>COUNTIFS('DuLieuGoc'!$G$6:$G$149,'Codebook'!$B$6,'DuLieuGoc'!$AH$6:$AH$149,B72)</x:f>
        <x:v>8</x:v>
      </x:c>
      <x:c r="E72" s="29" t="n">
        <x:f>COUNTIFS('DuLieuGoc'!$G$6:$G$149,'Codebook'!$B$6,'DuLieuGoc'!$AH$6:$AH$149,"&lt;&gt;")</x:f>
        <x:v>120</x:v>
      </x:c>
      <x:c r="F72" s="31" t="n">
        <x:f>IF(E72=0,"",D72/E72)</x:f>
        <x:v>0.06666666666666667</x:v>
      </x:c>
      <x:c r="G72" s="27" t="n">
        <x:v>8</x:v>
      </x:c>
      <x:c r="H72" s="27" t="n">
        <x:v>120</x:v>
      </x:c>
      <x:c r="I72" s="33" t="str">
        <x:f>IF(AND(D72=G72,E72=H72),"KHỚP","LỖI")</x:f>
        <x:v>KHỚP</x:v>
      </x:c>
    </x:row>
    <x:row r="73" ht="39" customHeight="1">
      <x:c r="A73" s="11" t="str">
        <x:v>Q11</x:v>
      </x:c>
      <x:c r="B73" s="11" t="str">
        <x:v>high_total</x:v>
      </x:c>
      <x:c r="C73" s="11" t="str">
        <x:v>Tổng tiền cao hơn dự kiến</x:v>
      </x:c>
      <x:c r="D73" s="28" t="n">
        <x:f>SUMIFS('DuLieuGoc'!$AI$6:$AI$149,'DuLieuGoc'!$G$6:$G$149,'Codebook'!$B$6)</x:f>
        <x:v>30</x:v>
      </x:c>
      <x:c r="E73" s="28" t="n">
        <x:f>COUNTIFS('DuLieuGoc'!$G$6:$G$149,'Codebook'!$B$6,'DuLieuGoc'!$AI$6:$AI$149,"&lt;&gt;")</x:f>
        <x:v>60</x:v>
      </x:c>
      <x:c r="F73" s="30" t="n">
        <x:f>IF(E73=0,"",D73/E73)</x:f>
        <x:v>0.5</x:v>
      </x:c>
      <x:c r="G73" s="26" t="n">
        <x:v>30</x:v>
      </x:c>
      <x:c r="H73" s="26" t="n">
        <x:v>60</x:v>
      </x:c>
      <x:c r="I73" s="32" t="str">
        <x:f>IF(AND(D73=G73,E73=H73),"KHỚP","LỖI")</x:f>
        <x:v>KHỚP</x:v>
      </x:c>
    </x:row>
    <x:row r="74" ht="39" customHeight="1">
      <x:c r="A74" s="12" t="str">
        <x:v>Q11</x:v>
      </x:c>
      <x:c r="B74" s="12" t="str">
        <x:v>missing_variant</x:v>
      </x:c>
      <x:c r="C74" s="12" t="str">
        <x:v>Thiếu cỡ hoặc màu</x:v>
      </x:c>
      <x:c r="D74" s="29" t="n">
        <x:f>SUMIFS('DuLieuGoc'!$AJ$6:$AJ$149,'DuLieuGoc'!$G$6:$G$149,'Codebook'!$B$6)</x:f>
        <x:v>28</x:v>
      </x:c>
      <x:c r="E74" s="29" t="n">
        <x:f>COUNTIFS('DuLieuGoc'!$G$6:$G$149,'Codebook'!$B$6,'DuLieuGoc'!$AI$6:$AI$149,"&lt;&gt;")</x:f>
        <x:v>60</x:v>
      </x:c>
      <x:c r="F74" s="31" t="n">
        <x:f>IF(E74=0,"",D74/E74)</x:f>
        <x:v>0.4666666666666667</x:v>
      </x:c>
      <x:c r="G74" s="27" t="n">
        <x:v>28</x:v>
      </x:c>
      <x:c r="H74" s="27" t="n">
        <x:v>60</x:v>
      </x:c>
      <x:c r="I74" s="33" t="str">
        <x:f>IF(AND(D74=G74,E74=H74),"KHỚP","LỖI")</x:f>
        <x:v>KHỚP</x:v>
      </x:c>
    </x:row>
    <x:row r="75" ht="39" customHeight="1">
      <x:c r="A75" s="11" t="str">
        <x:v>Q11</x:v>
      </x:c>
      <x:c r="B75" s="11" t="str">
        <x:v>complex_flow</x:v>
      </x:c>
      <x:c r="C75" s="11" t="str">
        <x:v>Quy trình phức tạp</x:v>
      </x:c>
      <x:c r="D75" s="28" t="n">
        <x:f>SUMIFS('DuLieuGoc'!$AK$6:$AK$149,'DuLieuGoc'!$G$6:$G$149,'Codebook'!$B$6)</x:f>
        <x:v>26</x:v>
      </x:c>
      <x:c r="E75" s="28" t="n">
        <x:f>COUNTIFS('DuLieuGoc'!$G$6:$G$149,'Codebook'!$B$6,'DuLieuGoc'!$AI$6:$AI$149,"&lt;&gt;")</x:f>
        <x:v>60</x:v>
      </x:c>
      <x:c r="F75" s="30" t="n">
        <x:f>IF(E75=0,"",D75/E75)</x:f>
        <x:v>0.43333333333333335</x:v>
      </x:c>
      <x:c r="G75" s="26" t="n">
        <x:v>26</x:v>
      </x:c>
      <x:c r="H75" s="26" t="n">
        <x:v>60</x:v>
      </x:c>
      <x:c r="I75" s="32" t="str">
        <x:f>IF(AND(D75=G75,E75=H75),"KHỚP","LỖI")</x:f>
        <x:v>KHỚP</x:v>
      </x:c>
    </x:row>
    <x:row r="76" ht="39" customHeight="1">
      <x:c r="A76" s="12" t="str">
        <x:v>Q11</x:v>
      </x:c>
      <x:c r="B76" s="12" t="str">
        <x:v>forced_account</x:v>
      </x:c>
      <x:c r="C76" s="12" t="str">
        <x:v>Bắt buộc tạo tài khoản</x:v>
      </x:c>
      <x:c r="D76" s="29" t="n">
        <x:f>SUMIFS('DuLieuGoc'!$AL$6:$AL$149,'DuLieuGoc'!$G$6:$G$149,'Codebook'!$B$6)</x:f>
        <x:v>18</x:v>
      </x:c>
      <x:c r="E76" s="29" t="n">
        <x:f>COUNTIFS('DuLieuGoc'!$G$6:$G$149,'Codebook'!$B$6,'DuLieuGoc'!$AI$6:$AI$149,"&lt;&gt;")</x:f>
        <x:v>60</x:v>
      </x:c>
      <x:c r="F76" s="31" t="n">
        <x:f>IF(E76=0,"",D76/E76)</x:f>
        <x:v>0.3</x:v>
      </x:c>
      <x:c r="G76" s="27" t="n">
        <x:v>18</x:v>
      </x:c>
      <x:c r="H76" s="27" t="n">
        <x:v>60</x:v>
      </x:c>
      <x:c r="I76" s="33" t="str">
        <x:f>IF(AND(D76=G76,E76=H76),"KHỚP","LỖI")</x:f>
        <x:v>KHỚP</x:v>
      </x:c>
    </x:row>
    <x:row r="77" ht="39" customHeight="1">
      <x:c r="A77" s="11" t="str">
        <x:v>Q11</x:v>
      </x:c>
      <x:c r="B77" s="11" t="str">
        <x:v>payment_distrust</x:v>
      </x:c>
      <x:c r="C77" s="11" t="str">
        <x:v>Không tin tưởng thanh toán</x:v>
      </x:c>
      <x:c r="D77" s="28" t="n">
        <x:f>SUMIFS('DuLieuGoc'!$AM$6:$AM$149,'DuLieuGoc'!$G$6:$G$149,'Codebook'!$B$6)</x:f>
        <x:v>16</x:v>
      </x:c>
      <x:c r="E77" s="28" t="n">
        <x:f>COUNTIFS('DuLieuGoc'!$G$6:$G$149,'Codebook'!$B$6,'DuLieuGoc'!$AI$6:$AI$149,"&lt;&gt;")</x:f>
        <x:v>60</x:v>
      </x:c>
      <x:c r="F77" s="30" t="n">
        <x:f>IF(E77=0,"",D77/E77)</x:f>
        <x:v>0.26666666666666666</x:v>
      </x:c>
      <x:c r="G77" s="26" t="n">
        <x:v>16</x:v>
      </x:c>
      <x:c r="H77" s="26" t="n">
        <x:v>60</x:v>
      </x:c>
      <x:c r="I77" s="32" t="str">
        <x:f>IF(AND(D77=G77,E77=H77),"KHỚP","LỖI")</x:f>
        <x:v>KHỚP</x:v>
      </x:c>
    </x:row>
    <x:row r="78" ht="39" customHeight="1">
      <x:c r="A78" s="12" t="str">
        <x:v>Q11</x:v>
      </x:c>
      <x:c r="B78" s="12" t="str">
        <x:v>changed_need</x:v>
      </x:c>
      <x:c r="C78" s="12" t="str">
        <x:v>Thay đổi nhu cầu</x:v>
      </x:c>
      <x:c r="D78" s="29" t="n">
        <x:f>SUMIFS('DuLieuGoc'!$AN$6:$AN$149,'DuLieuGoc'!$G$6:$G$149,'Codebook'!$B$6)</x:f>
        <x:v>10</x:v>
      </x:c>
      <x:c r="E78" s="29" t="n">
        <x:f>COUNTIFS('DuLieuGoc'!$G$6:$G$149,'Codebook'!$B$6,'DuLieuGoc'!$AI$6:$AI$149,"&lt;&gt;")</x:f>
        <x:v>60</x:v>
      </x:c>
      <x:c r="F78" s="31" t="n">
        <x:f>IF(E78=0,"",D78/E78)</x:f>
        <x:v>0.16666666666666666</x:v>
      </x:c>
      <x:c r="G78" s="27" t="n">
        <x:v>10</x:v>
      </x:c>
      <x:c r="H78" s="27" t="n">
        <x:v>60</x:v>
      </x:c>
      <x:c r="I78" s="33" t="str">
        <x:f>IF(AND(D78=G78,E78=H78),"KHỚP","LỖI")</x:f>
        <x:v>KHỚP</x:v>
      </x:c>
    </x:row>
    <x:row r="79" ht="39" customHeight="1">
      <x:c r="A79" s="11" t="str">
        <x:v>Q11</x:v>
      </x:c>
      <x:c r="B79" s="11" t="str">
        <x:v>technical_error</x:v>
      </x:c>
      <x:c r="C79" s="11" t="str">
        <x:v>Lỗi kỹ thuật</x:v>
      </x:c>
      <x:c r="D79" s="28" t="n">
        <x:f>SUMIFS('DuLieuGoc'!$AO$6:$AO$149,'DuLieuGoc'!$G$6:$G$149,'Codebook'!$B$6)</x:f>
        <x:v>9</x:v>
      </x:c>
      <x:c r="E79" s="28" t="n">
        <x:f>COUNTIFS('DuLieuGoc'!$G$6:$G$149,'Codebook'!$B$6,'DuLieuGoc'!$AI$6:$AI$149,"&lt;&gt;")</x:f>
        <x:v>60</x:v>
      </x:c>
      <x:c r="F79" s="30" t="n">
        <x:f>IF(E79=0,"",D79/E79)</x:f>
        <x:v>0.15</x:v>
      </x:c>
      <x:c r="G79" s="26" t="n">
        <x:v>9</x:v>
      </x:c>
      <x:c r="H79" s="26" t="n">
        <x:v>60</x:v>
      </x:c>
      <x:c r="I79" s="32" t="str">
        <x:f>IF(AND(D79=G79,E79=H79),"KHỚP","LỖI")</x:f>
        <x:v>KHỚP</x:v>
      </x:c>
    </x:row>
    <x:row r="80" ht="39" customHeight="1">
      <x:c r="A80" s="12" t="str">
        <x:v>Q11</x:v>
      </x:c>
      <x:c r="B80" s="12" t="str">
        <x:v>other</x:v>
      </x:c>
      <x:c r="C80" s="12" t="str">
        <x:v>Khác</x:v>
      </x:c>
      <x:c r="D80" s="29" t="n">
        <x:f>SUMIFS('DuLieuGoc'!$AP$6:$AP$149,'DuLieuGoc'!$G$6:$G$149,'Codebook'!$B$6)</x:f>
        <x:v>1</x:v>
      </x:c>
      <x:c r="E80" s="29" t="n">
        <x:f>COUNTIFS('DuLieuGoc'!$G$6:$G$149,'Codebook'!$B$6,'DuLieuGoc'!$AI$6:$AI$149,"&lt;&gt;")</x:f>
        <x:v>60</x:v>
      </x:c>
      <x:c r="F80" s="31" t="n">
        <x:f>IF(E80=0,"",D80/E80)</x:f>
        <x:v>0.016666666666666666</x:v>
      </x:c>
      <x:c r="G80" s="27" t="n">
        <x:v>1</x:v>
      </x:c>
      <x:c r="H80" s="27" t="n">
        <x:v>60</x:v>
      </x:c>
      <x:c r="I80" s="33" t="str">
        <x:f>IF(AND(D80=G80,E80=H80),"KHỚP","LỖI")</x:f>
        <x:v>KHỚP</x:v>
      </x:c>
    </x:row>
    <x:row r="81" ht="39" customHeight="1">
      <x:c r="A81" s="11" t="str">
        <x:v>Q12</x:v>
      </x:c>
      <x:c r="B81" s="11" t="str">
        <x:v>size_measurements</x:v>
      </x:c>
      <x:c r="C81" s="11" t="str">
        <x:v>Số đo, cỡ quần áo</x:v>
      </x:c>
      <x:c r="D81" s="28" t="n">
        <x:f>SUMIFS('DuLieuGoc'!$AR$6:$AR$149,'DuLieuGoc'!$G$6:$G$149,'Codebook'!$B$6)</x:f>
        <x:v>60</x:v>
      </x:c>
      <x:c r="E81" s="28" t="n">
        <x:f>COUNTIFS('DuLieuGoc'!$G$6:$G$149,'Codebook'!$B$6,'DuLieuGoc'!$AR$6:$AR$149,"&lt;&gt;")</x:f>
        <x:v>120</x:v>
      </x:c>
      <x:c r="F81" s="30" t="n">
        <x:f>IF(E81=0,"",D81/E81)</x:f>
        <x:v>0.5</x:v>
      </x:c>
      <x:c r="G81" s="26" t="n">
        <x:v>60</x:v>
      </x:c>
      <x:c r="H81" s="26" t="n">
        <x:v>120</x:v>
      </x:c>
      <x:c r="I81" s="32" t="str">
        <x:f>IF(AND(D81=G81,E81=H81),"KHỚP","LỖI")</x:f>
        <x:v>KHỚP</x:v>
      </x:c>
    </x:row>
    <x:row r="82" ht="39" customHeight="1">
      <x:c r="A82" s="12" t="str">
        <x:v>Q12</x:v>
      </x:c>
      <x:c r="B82" s="12" t="str">
        <x:v>detail_photos</x:v>
      </x:c>
      <x:c r="C82" s="12" t="str">
        <x:v>Ảnh chi tiết</x:v>
      </x:c>
      <x:c r="D82" s="29" t="n">
        <x:f>SUMIFS('DuLieuGoc'!$AS$6:$AS$149,'DuLieuGoc'!$G$6:$G$149,'Codebook'!$B$6)</x:f>
        <x:v>42</x:v>
      </x:c>
      <x:c r="E82" s="29" t="n">
        <x:f>COUNTIFS('DuLieuGoc'!$G$6:$G$149,'Codebook'!$B$6,'DuLieuGoc'!$AR$6:$AR$149,"&lt;&gt;")</x:f>
        <x:v>120</x:v>
      </x:c>
      <x:c r="F82" s="31" t="n">
        <x:f>IF(E82=0,"",D82/E82)</x:f>
        <x:v>0.35</x:v>
      </x:c>
      <x:c r="G82" s="27" t="n">
        <x:v>42</x:v>
      </x:c>
      <x:c r="H82" s="27" t="n">
        <x:v>120</x:v>
      </x:c>
      <x:c r="I82" s="33" t="str">
        <x:f>IF(AND(D82=G82,E82=H82),"KHỚP","LỖI")</x:f>
        <x:v>KHỚP</x:v>
      </x:c>
    </x:row>
    <x:row r="83" ht="39" customHeight="1">
      <x:c r="A83" s="11" t="str">
        <x:v>Q12</x:v>
      </x:c>
      <x:c r="B83" s="11" t="str">
        <x:v>material</x:v>
      </x:c>
      <x:c r="C83" s="11" t="str">
        <x:v>Chất liệu</x:v>
      </x:c>
      <x:c r="D83" s="28" t="n">
        <x:f>SUMIFS('DuLieuGoc'!$AT$6:$AT$149,'DuLieuGoc'!$G$6:$G$149,'Codebook'!$B$6)</x:f>
        <x:v>36</x:v>
      </x:c>
      <x:c r="E83" s="28" t="n">
        <x:f>COUNTIFS('DuLieuGoc'!$G$6:$G$149,'Codebook'!$B$6,'DuLieuGoc'!$AR$6:$AR$149,"&lt;&gt;")</x:f>
        <x:v>120</x:v>
      </x:c>
      <x:c r="F83" s="30" t="n">
        <x:f>IF(E83=0,"",D83/E83)</x:f>
        <x:v>0.3</x:v>
      </x:c>
      <x:c r="G83" s="26" t="n">
        <x:v>36</x:v>
      </x:c>
      <x:c r="H83" s="26" t="n">
        <x:v>120</x:v>
      </x:c>
      <x:c r="I83" s="32" t="str">
        <x:f>IF(AND(D83=G83,E83=H83),"KHỚP","LỖI")</x:f>
        <x:v>KHỚP</x:v>
      </x:c>
    </x:row>
    <x:row r="84" ht="39" customHeight="1">
      <x:c r="A84" s="12" t="str">
        <x:v>Q12</x:v>
      </x:c>
      <x:c r="B84" s="12" t="str">
        <x:v>variant_stock</x:v>
      </x:c>
      <x:c r="C84" s="12" t="str">
        <x:v>Cỡ, màu còn hàng</x:v>
      </x:c>
      <x:c r="D84" s="29" t="n">
        <x:f>SUMIFS('DuLieuGoc'!$AU$6:$AU$149,'DuLieuGoc'!$G$6:$G$149,'Codebook'!$B$6)</x:f>
        <x:v>34</x:v>
      </x:c>
      <x:c r="E84" s="29" t="n">
        <x:f>COUNTIFS('DuLieuGoc'!$G$6:$G$149,'Codebook'!$B$6,'DuLieuGoc'!$AR$6:$AR$149,"&lt;&gt;")</x:f>
        <x:v>120</x:v>
      </x:c>
      <x:c r="F84" s="31" t="n">
        <x:f>IF(E84=0,"",D84/E84)</x:f>
        <x:v>0.2833333333333333</x:v>
      </x:c>
      <x:c r="G84" s="27" t="n">
        <x:v>34</x:v>
      </x:c>
      <x:c r="H84" s="27" t="n">
        <x:v>120</x:v>
      </x:c>
      <x:c r="I84" s="33" t="str">
        <x:f>IF(AND(D84=G84,E84=H84),"KHỚP","LỖI")</x:f>
        <x:v>KHỚP</x:v>
      </x:c>
    </x:row>
    <x:row r="85" ht="39" customHeight="1">
      <x:c r="A85" s="11" t="str">
        <x:v>Q12</x:v>
      </x:c>
      <x:c r="B85" s="11" t="str">
        <x:v>final_total</x:v>
      </x:c>
      <x:c r="C85" s="11" t="str">
        <x:v>Tổng tiền cuối</x:v>
      </x:c>
      <x:c r="D85" s="28" t="n">
        <x:f>SUMIFS('DuLieuGoc'!$AV$6:$AV$149,'DuLieuGoc'!$G$6:$G$149,'Codebook'!$B$6)</x:f>
        <x:v>47</x:v>
      </x:c>
      <x:c r="E85" s="28" t="n">
        <x:f>COUNTIFS('DuLieuGoc'!$G$6:$G$149,'Codebook'!$B$6,'DuLieuGoc'!$AR$6:$AR$149,"&lt;&gt;")</x:f>
        <x:v>120</x:v>
      </x:c>
      <x:c r="F85" s="30" t="n">
        <x:f>IF(E85=0,"",D85/E85)</x:f>
        <x:v>0.39166666666666666</x:v>
      </x:c>
      <x:c r="G85" s="26" t="n">
        <x:v>47</x:v>
      </x:c>
      <x:c r="H85" s="26" t="n">
        <x:v>120</x:v>
      </x:c>
      <x:c r="I85" s="32" t="str">
        <x:f>IF(AND(D85=G85,E85=H85),"KHỚP","LỖI")</x:f>
        <x:v>KHỚP</x:v>
      </x:c>
    </x:row>
    <x:row r="86" ht="39" customHeight="1">
      <x:c r="A86" s="12" t="str">
        <x:v>Q12</x:v>
      </x:c>
      <x:c r="B86" s="12" t="str">
        <x:v>returns_policy</x:v>
      </x:c>
      <x:c r="C86" s="12" t="str">
        <x:v>Điều kiện đổi trả</x:v>
      </x:c>
      <x:c r="D86" s="29" t="n">
        <x:f>SUMIFS('DuLieuGoc'!$AW$6:$AW$149,'DuLieuGoc'!$G$6:$G$149,'Codebook'!$B$6)</x:f>
        <x:v>38</x:v>
      </x:c>
      <x:c r="E86" s="29" t="n">
        <x:f>COUNTIFS('DuLieuGoc'!$G$6:$G$149,'Codebook'!$B$6,'DuLieuGoc'!$AR$6:$AR$149,"&lt;&gt;")</x:f>
        <x:v>120</x:v>
      </x:c>
      <x:c r="F86" s="31" t="n">
        <x:f>IF(E86=0,"",D86/E86)</x:f>
        <x:v>0.31666666666666665</x:v>
      </x:c>
      <x:c r="G86" s="27" t="n">
        <x:v>38</x:v>
      </x:c>
      <x:c r="H86" s="27" t="n">
        <x:v>120</x:v>
      </x:c>
      <x:c r="I86" s="33" t="str">
        <x:f>IF(AND(D86=G86,E86=H86),"KHỚP","LỖI")</x:f>
        <x:v>KHỚP</x:v>
      </x:c>
    </x:row>
    <x:row r="87" ht="39" customHeight="1">
      <x:c r="A87" s="11" t="str">
        <x:v>Q12</x:v>
      </x:c>
      <x:c r="B87" s="11" t="str">
        <x:v>delivery_estimate</x:v>
      </x:c>
      <x:c r="C87" s="11" t="str">
        <x:v>Thời gian giao dự kiến</x:v>
      </x:c>
      <x:c r="D87" s="28" t="n">
        <x:f>SUMIFS('DuLieuGoc'!$AX$6:$AX$149,'DuLieuGoc'!$G$6:$G$149,'Codebook'!$B$6)</x:f>
        <x:v>33</x:v>
      </x:c>
      <x:c r="E87" s="28" t="n">
        <x:f>COUNTIFS('DuLieuGoc'!$G$6:$G$149,'Codebook'!$B$6,'DuLieuGoc'!$AR$6:$AR$149,"&lt;&gt;")</x:f>
        <x:v>120</x:v>
      </x:c>
      <x:c r="F87" s="30" t="n">
        <x:f>IF(E87=0,"",D87/E87)</x:f>
        <x:v>0.275</x:v>
      </x:c>
      <x:c r="G87" s="26" t="n">
        <x:v>33</x:v>
      </x:c>
      <x:c r="H87" s="26" t="n">
        <x:v>120</x:v>
      </x:c>
      <x:c r="I87" s="32" t="str">
        <x:f>IF(AND(D87=G87,E87=H87),"KHỚP","LỖI")</x:f>
        <x:v>KHỚP</x:v>
      </x:c>
    </x:row>
    <x:row r="88" ht="39" customHeight="1">
      <x:c r="A88" s="12" t="str">
        <x:v>Q12</x:v>
      </x:c>
      <x:c r="B88" s="12" t="str">
        <x:v>buyer_reviews</x:v>
      </x:c>
      <x:c r="C88" s="12" t="str">
        <x:v>Đánh giá người mua</x:v>
      </x:c>
      <x:c r="D88" s="29" t="n">
        <x:f>SUMIFS('DuLieuGoc'!$AY$6:$AY$149,'DuLieuGoc'!$G$6:$G$149,'Codebook'!$B$6)</x:f>
        <x:v>37</x:v>
      </x:c>
      <x:c r="E88" s="29" t="n">
        <x:f>COUNTIFS('DuLieuGoc'!$G$6:$G$149,'Codebook'!$B$6,'DuLieuGoc'!$AR$6:$AR$149,"&lt;&gt;")</x:f>
        <x:v>120</x:v>
      </x:c>
      <x:c r="F88" s="31" t="n">
        <x:f>IF(E88=0,"",D88/E88)</x:f>
        <x:v>0.30833333333333335</x:v>
      </x:c>
      <x:c r="G88" s="27" t="n">
        <x:v>37</x:v>
      </x:c>
      <x:c r="H88" s="27" t="n">
        <x:v>120</x:v>
      </x:c>
      <x:c r="I88" s="33" t="str">
        <x:f>IF(AND(D88=G88,E88=H88),"KHỚP","LỖI")</x:f>
        <x:v>KHỚP</x:v>
      </x:c>
    </x:row>
    <x:row r="89" ht="39" customHeight="1">
      <x:c r="A89" s="11" t="str">
        <x:v>Q12</x:v>
      </x:c>
      <x:c r="B89" s="11" t="str">
        <x:v>other</x:v>
      </x:c>
      <x:c r="C89" s="11" t="str">
        <x:v>Khác</x:v>
      </x:c>
      <x:c r="D89" s="28" t="n">
        <x:f>SUMIFS('DuLieuGoc'!$AZ$6:$AZ$149,'DuLieuGoc'!$G$6:$G$149,'Codebook'!$B$6)</x:f>
        <x:v>3</x:v>
      </x:c>
      <x:c r="E89" s="28" t="n">
        <x:f>COUNTIFS('DuLieuGoc'!$G$6:$G$149,'Codebook'!$B$6,'DuLieuGoc'!$AR$6:$AR$149,"&lt;&gt;")</x:f>
        <x:v>120</x:v>
      </x:c>
      <x:c r="F89" s="30" t="n">
        <x:f>IF(E89=0,"",D89/E89)</x:f>
        <x:v>0.025</x:v>
      </x:c>
      <x:c r="G89" s="26" t="n">
        <x:v>3</x:v>
      </x:c>
      <x:c r="H89" s="26" t="n">
        <x:v>120</x:v>
      </x:c>
      <x:c r="I89" s="32" t="str">
        <x:f>IF(AND(D89=G89,E89=H89),"KHỚP","LỖI")</x:f>
        <x:v>KHỚP</x:v>
      </x:c>
    </x:row>
    <x:row r="90" ht="39" customHeight="1">
      <x:c r="A90" s="12" t="str">
        <x:v>Q13</x:v>
      </x:c>
      <x:c r="B90" s="12" t="str">
        <x:v>cod</x:v>
      </x:c>
      <x:c r="C90" s="12" t="str">
        <x:v>Trả khi nhận hàng (COD)</x:v>
      </x:c>
      <x:c r="D90" s="29" t="n">
        <x:f>COUNTIFS('DuLieuGoc'!$G$6:$G$149,'Codebook'!$B$6,'DuLieuGoc'!$BB$6:$BB$149,B90)</x:f>
        <x:v>68</x:v>
      </x:c>
      <x:c r="E90" s="29" t="n">
        <x:f>COUNTIFS('DuLieuGoc'!$G$6:$G$149,'Codebook'!$B$6,'DuLieuGoc'!$BB$6:$BB$149,"&lt;&gt;")</x:f>
        <x:v>120</x:v>
      </x:c>
      <x:c r="F90" s="31" t="n">
        <x:f>IF(E90=0,"",D90/E90)</x:f>
        <x:v>0.5666666666666667</x:v>
      </x:c>
      <x:c r="G90" s="27" t="n">
        <x:v>68</x:v>
      </x:c>
      <x:c r="H90" s="27" t="n">
        <x:v>120</x:v>
      </x:c>
      <x:c r="I90" s="33" t="str">
        <x:f>IF(AND(D90=G90,E90=H90),"KHỚP","LỖI")</x:f>
        <x:v>KHỚP</x:v>
      </x:c>
    </x:row>
    <x:row r="91" ht="39" customHeight="1">
      <x:c r="A91" s="11" t="str">
        <x:v>Q13</x:v>
      </x:c>
      <x:c r="B91" s="11" t="str">
        <x:v>prepaid</x:v>
      </x:c>
      <x:c r="C91" s="11" t="str">
        <x:v>Thanh toán trước</x:v>
      </x:c>
      <x:c r="D91" s="28" t="n">
        <x:f>COUNTIFS('DuLieuGoc'!$G$6:$G$149,'Codebook'!$B$6,'DuLieuGoc'!$BB$6:$BB$149,B91)</x:f>
        <x:v>43</x:v>
      </x:c>
      <x:c r="E91" s="28" t="n">
        <x:f>COUNTIFS('DuLieuGoc'!$G$6:$G$149,'Codebook'!$B$6,'DuLieuGoc'!$BB$6:$BB$149,"&lt;&gt;")</x:f>
        <x:v>120</x:v>
      </x:c>
      <x:c r="F91" s="30" t="n">
        <x:f>IF(E91=0,"",D91/E91)</x:f>
        <x:v>0.35833333333333334</x:v>
      </x:c>
      <x:c r="G91" s="26" t="n">
        <x:v>43</x:v>
      </x:c>
      <x:c r="H91" s="26" t="n">
        <x:v>120</x:v>
      </x:c>
      <x:c r="I91" s="32" t="str">
        <x:f>IF(AND(D91=G91,E91=H91),"KHỚP","LỖI")</x:f>
        <x:v>KHỚP</x:v>
      </x:c>
    </x:row>
    <x:row r="92" ht="39" customHeight="1">
      <x:c r="A92" s="12" t="str">
        <x:v>Q13</x:v>
      </x:c>
      <x:c r="B92" s="12" t="str">
        <x:v>other</x:v>
      </x:c>
      <x:c r="C92" s="12" t="str">
        <x:v>Khác</x:v>
      </x:c>
      <x:c r="D92" s="29" t="n">
        <x:f>COUNTIFS('DuLieuGoc'!$G$6:$G$149,'Codebook'!$B$6,'DuLieuGoc'!$BB$6:$BB$149,B92)</x:f>
        <x:v>3</x:v>
      </x:c>
      <x:c r="E92" s="29" t="n">
        <x:f>COUNTIFS('DuLieuGoc'!$G$6:$G$149,'Codebook'!$B$6,'DuLieuGoc'!$BB$6:$BB$149,"&lt;&gt;")</x:f>
        <x:v>120</x:v>
      </x:c>
      <x:c r="F92" s="31" t="n">
        <x:f>IF(E92=0,"",D92/E92)</x:f>
        <x:v>0.025</x:v>
      </x:c>
      <x:c r="G92" s="27" t="n">
        <x:v>3</x:v>
      </x:c>
      <x:c r="H92" s="27" t="n">
        <x:v>120</x:v>
      </x:c>
      <x:c r="I92" s="33" t="str">
        <x:f>IF(AND(D92=G92,E92=H92),"KHỚP","LỖI")</x:f>
        <x:v>KHỚP</x:v>
      </x:c>
    </x:row>
    <x:row r="93" ht="39" customHeight="1">
      <x:c r="A93" s="11" t="str">
        <x:v>Q13</x:v>
      </x:c>
      <x:c r="B93" s="11" t="str">
        <x:v>cannot_recall</x:v>
      </x:c>
      <x:c r="C93" s="11" t="str">
        <x:v>Không nhớ</x:v>
      </x:c>
      <x:c r="D93" s="28" t="n">
        <x:f>COUNTIFS('DuLieuGoc'!$G$6:$G$149,'Codebook'!$B$6,'DuLieuGoc'!$BB$6:$BB$149,B93)</x:f>
        <x:v>6</x:v>
      </x:c>
      <x:c r="E93" s="28" t="n">
        <x:f>COUNTIFS('DuLieuGoc'!$G$6:$G$149,'Codebook'!$B$6,'DuLieuGoc'!$BB$6:$BB$149,"&lt;&gt;")</x:f>
        <x:v>120</x:v>
      </x:c>
      <x:c r="F93" s="30" t="n">
        <x:f>IF(E93=0,"",D93/E93)</x:f>
        <x:v>0.05</x:v>
      </x:c>
      <x:c r="G93" s="26" t="n">
        <x:v>6</x:v>
      </x:c>
      <x:c r="H93" s="26" t="n">
        <x:v>120</x:v>
      </x:c>
      <x:c r="I93" s="32" t="str">
        <x:f>IF(AND(D93=G93,E93=H93),"KHỚP","LỖI")</x:f>
        <x:v>KHỚP</x:v>
      </x:c>
    </x:row>
    <x:row r="94" ht="39" customHeight="1">
      <x:c r="A94" s="12" t="str">
        <x:v>Q14</x:v>
      </x:c>
      <x:c r="B94" s="12" t="str">
        <x:v>guest</x:v>
      </x:c>
      <x:c r="C94" s="12" t="str">
        <x:v>Mua không tài khoản</x:v>
      </x:c>
      <x:c r="D94" s="29" t="n">
        <x:f>COUNTIFS('DuLieuGoc'!$G$6:$G$149,'Codebook'!$B$6,'DuLieuGoc'!$BD$6:$BD$149,B94)</x:f>
        <x:v>47</x:v>
      </x:c>
      <x:c r="E94" s="29" t="n">
        <x:f>COUNTIFS('DuLieuGoc'!$G$6:$G$149,'Codebook'!$B$6,'DuLieuGoc'!$BD$6:$BD$149,"&lt;&gt;")</x:f>
        <x:v>120</x:v>
      </x:c>
      <x:c r="F94" s="31" t="n">
        <x:f>IF(E94=0,"",D94/E94)</x:f>
        <x:v>0.39166666666666666</x:v>
      </x:c>
      <x:c r="G94" s="27" t="n">
        <x:v>47</x:v>
      </x:c>
      <x:c r="H94" s="27" t="n">
        <x:v>120</x:v>
      </x:c>
      <x:c r="I94" s="33" t="str">
        <x:f>IF(AND(D94=G94,E94=H94),"KHỚP","LỖI")</x:f>
        <x:v>KHỚP</x:v>
      </x:c>
    </x:row>
    <x:row r="95" ht="39" customHeight="1">
      <x:c r="A95" s="11" t="str">
        <x:v>Q14</x:v>
      </x:c>
      <x:c r="B95" s="11" t="str">
        <x:v>register_now</x:v>
      </x:c>
      <x:c r="C95" s="11" t="str">
        <x:v>Đăng ký ngay</x:v>
      </x:c>
      <x:c r="D95" s="28" t="n">
        <x:f>COUNTIFS('DuLieuGoc'!$G$6:$G$149,'Codebook'!$B$6,'DuLieuGoc'!$BD$6:$BD$149,B95)</x:f>
        <x:v>19</x:v>
      </x:c>
      <x:c r="E95" s="28" t="n">
        <x:f>COUNTIFS('DuLieuGoc'!$G$6:$G$149,'Codebook'!$B$6,'DuLieuGoc'!$BD$6:$BD$149,"&lt;&gt;")</x:f>
        <x:v>120</x:v>
      </x:c>
      <x:c r="F95" s="30" t="n">
        <x:f>IF(E95=0,"",D95/E95)</x:f>
        <x:v>0.15833333333333333</x:v>
      </x:c>
      <x:c r="G95" s="26" t="n">
        <x:v>19</x:v>
      </x:c>
      <x:c r="H95" s="26" t="n">
        <x:v>120</x:v>
      </x:c>
      <x:c r="I95" s="32" t="str">
        <x:f>IF(AND(D95=G95,E95=H95),"KHỚP","LỖI")</x:f>
        <x:v>KHỚP</x:v>
      </x:c>
    </x:row>
    <x:row r="96" ht="39" customHeight="1">
      <x:c r="A96" s="12" t="str">
        <x:v>Q14</x:v>
      </x:c>
      <x:c r="B96" s="12" t="str">
        <x:v>depends_on_benefits</x:v>
      </x:c>
      <x:c r="C96" s="12" t="str">
        <x:v>Tùy lợi ích</x:v>
      </x:c>
      <x:c r="D96" s="29" t="n">
        <x:f>COUNTIFS('DuLieuGoc'!$G$6:$G$149,'Codebook'!$B$6,'DuLieuGoc'!$BD$6:$BD$149,B96)</x:f>
        <x:v>48</x:v>
      </x:c>
      <x:c r="E96" s="29" t="n">
        <x:f>COUNTIFS('DuLieuGoc'!$G$6:$G$149,'Codebook'!$B$6,'DuLieuGoc'!$BD$6:$BD$149,"&lt;&gt;")</x:f>
        <x:v>120</x:v>
      </x:c>
      <x:c r="F96" s="31" t="n">
        <x:f>IF(E96=0,"",D96/E96)</x:f>
        <x:v>0.4</x:v>
      </x:c>
      <x:c r="G96" s="27" t="n">
        <x:v>48</x:v>
      </x:c>
      <x:c r="H96" s="27" t="n">
        <x:v>120</x:v>
      </x:c>
      <x:c r="I96" s="33" t="str">
        <x:f>IF(AND(D96=G96,E96=H96),"KHỚP","LỖI")</x:f>
        <x:v>KHỚP</x:v>
      </x:c>
    </x:row>
    <x:row r="97" ht="39" customHeight="1">
      <x:c r="A97" s="11" t="str">
        <x:v>Q14</x:v>
      </x:c>
      <x:c r="B97" s="11" t="str">
        <x:v>unsure</x:v>
      </x:c>
      <x:c r="C97" s="11" t="str">
        <x:v>Không chắc</x:v>
      </x:c>
      <x:c r="D97" s="28" t="n">
        <x:f>COUNTIFS('DuLieuGoc'!$G$6:$G$149,'Codebook'!$B$6,'DuLieuGoc'!$BD$6:$BD$149,B97)</x:f>
        <x:v>6</x:v>
      </x:c>
      <x:c r="E97" s="28" t="n">
        <x:f>COUNTIFS('DuLieuGoc'!$G$6:$G$149,'Codebook'!$B$6,'DuLieuGoc'!$BD$6:$BD$149,"&lt;&gt;")</x:f>
        <x:v>120</x:v>
      </x:c>
      <x:c r="F97" s="30" t="n">
        <x:f>IF(E97=0,"",D97/E97)</x:f>
        <x:v>0.05</x:v>
      </x:c>
      <x:c r="G97" s="26" t="n">
        <x:v>6</x:v>
      </x:c>
      <x:c r="H97" s="26" t="n">
        <x:v>120</x:v>
      </x:c>
      <x:c r="I97" s="32" t="str">
        <x:f>IF(AND(D97=G97,E97=H97),"KHỚP","LỖI")</x:f>
        <x:v>KHỚP</x:v>
      </x:c>
    </x:row>
    <x:row r="98" ht="39" customHeight="1">
      <x:c r="A98" s="12" t="str">
        <x:v>Q15</x:v>
      </x:c>
      <x:c r="B98" s="12" t="str">
        <x:v>confirmed</x:v>
      </x:c>
      <x:c r="C98" s="12" t="str">
        <x:v>Đơn đã xác nhận</x:v>
      </x:c>
      <x:c r="D98" s="29" t="n">
        <x:f>SUMIFS('DuLieuGoc'!$BE$6:$BE$149,'DuLieuGoc'!$G$6:$G$149,'Codebook'!$B$6)</x:f>
        <x:v>100</x:v>
      </x:c>
      <x:c r="E98" s="29" t="n">
        <x:f>COUNTIFS('DuLieuGoc'!$G$6:$G$149,'Codebook'!$B$6,'DuLieuGoc'!$BE$6:$BE$149,"&lt;&gt;")</x:f>
        <x:v>120</x:v>
      </x:c>
      <x:c r="F98" s="31" t="n">
        <x:f>IF(E98=0,"",D98/E98)</x:f>
        <x:v>0.8333333333333334</x:v>
      </x:c>
      <x:c r="G98" s="27" t="n">
        <x:v>100</x:v>
      </x:c>
      <x:c r="H98" s="27" t="n">
        <x:v>120</x:v>
      </x:c>
      <x:c r="I98" s="33" t="str">
        <x:f>IF(AND(D98=G98,E98=H98),"KHỚP","LỖI")</x:f>
        <x:v>KHỚP</x:v>
      </x:c>
    </x:row>
    <x:row r="99" ht="39" customHeight="1">
      <x:c r="A99" s="11" t="str">
        <x:v>Q15</x:v>
      </x:c>
      <x:c r="B99" s="11" t="str">
        <x:v>preparing</x:v>
      </x:c>
      <x:c r="C99" s="11" t="str">
        <x:v>Đang chuẩn bị</x:v>
      </x:c>
      <x:c r="D99" s="28" t="n">
        <x:f>SUMIFS('DuLieuGoc'!$BF$6:$BF$149,'DuLieuGoc'!$G$6:$G$149,'Codebook'!$B$6)</x:f>
        <x:v>72</x:v>
      </x:c>
      <x:c r="E99" s="28" t="n">
        <x:f>COUNTIFS('DuLieuGoc'!$G$6:$G$149,'Codebook'!$B$6,'DuLieuGoc'!$BE$6:$BE$149,"&lt;&gt;")</x:f>
        <x:v>120</x:v>
      </x:c>
      <x:c r="F99" s="30" t="n">
        <x:f>IF(E99=0,"",D99/E99)</x:f>
        <x:v>0.6</x:v>
      </x:c>
      <x:c r="G99" s="26" t="n">
        <x:v>72</x:v>
      </x:c>
      <x:c r="H99" s="26" t="n">
        <x:v>120</x:v>
      </x:c>
      <x:c r="I99" s="32" t="str">
        <x:f>IF(AND(D99=G99,E99=H99),"KHỚP","LỖI")</x:f>
        <x:v>KHỚP</x:v>
      </x:c>
    </x:row>
    <x:row r="100" ht="39" customHeight="1">
      <x:c r="A100" s="12" t="str">
        <x:v>Q15</x:v>
      </x:c>
      <x:c r="B100" s="12" t="str">
        <x:v>handed_over</x:v>
      </x:c>
      <x:c r="C100" s="12" t="str">
        <x:v>Đã bàn giao</x:v>
      </x:c>
      <x:c r="D100" s="29" t="n">
        <x:f>SUMIFS('DuLieuGoc'!$BG$6:$BG$149,'DuLieuGoc'!$G$6:$G$149,'Codebook'!$B$6)</x:f>
        <x:v>87</x:v>
      </x:c>
      <x:c r="E100" s="29" t="n">
        <x:f>COUNTIFS('DuLieuGoc'!$G$6:$G$149,'Codebook'!$B$6,'DuLieuGoc'!$BE$6:$BE$149,"&lt;&gt;")</x:f>
        <x:v>120</x:v>
      </x:c>
      <x:c r="F100" s="31" t="n">
        <x:f>IF(E100=0,"",D100/E100)</x:f>
        <x:v>0.725</x:v>
      </x:c>
      <x:c r="G100" s="27" t="n">
        <x:v>87</x:v>
      </x:c>
      <x:c r="H100" s="27" t="n">
        <x:v>120</x:v>
      </x:c>
      <x:c r="I100" s="33" t="str">
        <x:f>IF(AND(D100=G100,E100=H100),"KHỚP","LỖI")</x:f>
        <x:v>KHỚP</x:v>
      </x:c>
    </x:row>
    <x:row r="101" ht="39" customHeight="1">
      <x:c r="A101" s="11" t="str">
        <x:v>Q15</x:v>
      </x:c>
      <x:c r="B101" s="11" t="str">
        <x:v>tracking_number</x:v>
      </x:c>
      <x:c r="C101" s="11" t="str">
        <x:v>Mã vận đơn</x:v>
      </x:c>
      <x:c r="D101" s="28" t="n">
        <x:f>SUMIFS('DuLieuGoc'!$BH$6:$BH$149,'DuLieuGoc'!$G$6:$G$149,'Codebook'!$B$6)</x:f>
        <x:v>101</x:v>
      </x:c>
      <x:c r="E101" s="28" t="n">
        <x:f>COUNTIFS('DuLieuGoc'!$G$6:$G$149,'Codebook'!$B$6,'DuLieuGoc'!$BE$6:$BE$149,"&lt;&gt;")</x:f>
        <x:v>120</x:v>
      </x:c>
      <x:c r="F101" s="30" t="n">
        <x:f>IF(E101=0,"",D101/E101)</x:f>
        <x:v>0.8416666666666667</x:v>
      </x:c>
      <x:c r="G101" s="26" t="n">
        <x:v>101</x:v>
      </x:c>
      <x:c r="H101" s="26" t="n">
        <x:v>120</x:v>
      </x:c>
      <x:c r="I101" s="32" t="str">
        <x:f>IF(AND(D101=G101,E101=H101),"KHỚP","LỖI")</x:f>
        <x:v>KHỚP</x:v>
      </x:c>
    </x:row>
    <x:row r="102" ht="39" customHeight="1">
      <x:c r="A102" s="12" t="str">
        <x:v>Q15</x:v>
      </x:c>
      <x:c r="B102" s="12" t="str">
        <x:v>eta</x:v>
      </x:c>
      <x:c r="C102" s="12" t="str">
        <x:v>Ngày giao dự kiến</x:v>
      </x:c>
      <x:c r="D102" s="29" t="n">
        <x:f>SUMIFS('DuLieuGoc'!$BI$6:$BI$149,'DuLieuGoc'!$G$6:$G$149,'Codebook'!$B$6)</x:f>
        <x:v>100</x:v>
      </x:c>
      <x:c r="E102" s="29" t="n">
        <x:f>COUNTIFS('DuLieuGoc'!$G$6:$G$149,'Codebook'!$B$6,'DuLieuGoc'!$BE$6:$BE$149,"&lt;&gt;")</x:f>
        <x:v>120</x:v>
      </x:c>
      <x:c r="F102" s="31" t="n">
        <x:f>IF(E102=0,"",D102/E102)</x:f>
        <x:v>0.8333333333333334</x:v>
      </x:c>
      <x:c r="G102" s="27" t="n">
        <x:v>100</x:v>
      </x:c>
      <x:c r="H102" s="27" t="n">
        <x:v>120</x:v>
      </x:c>
      <x:c r="I102" s="33" t="str">
        <x:f>IF(AND(D102=G102,E102=H102),"KHỚP","LỖI")</x:f>
        <x:v>KHỚP</x:v>
      </x:c>
    </x:row>
    <x:row r="103" ht="39" customHeight="1">
      <x:c r="A103" s="11" t="str">
        <x:v>Q15</x:v>
      </x:c>
      <x:c r="B103" s="11" t="str">
        <x:v>per_parcel</x:v>
      </x:c>
      <x:c r="C103" s="11" t="str">
        <x:v>Trạng thái từng kiện</x:v>
      </x:c>
      <x:c r="D103" s="28" t="n">
        <x:f>SUMIFS('DuLieuGoc'!$BJ$6:$BJ$149,'DuLieuGoc'!$G$6:$G$149,'Codebook'!$B$6)</x:f>
        <x:v>57</x:v>
      </x:c>
      <x:c r="E103" s="28" t="n">
        <x:f>COUNTIFS('DuLieuGoc'!$G$6:$G$149,'Codebook'!$B$6,'DuLieuGoc'!$BE$6:$BE$149,"&lt;&gt;")</x:f>
        <x:v>120</x:v>
      </x:c>
      <x:c r="F103" s="30" t="n">
        <x:f>IF(E103=0,"",D103/E103)</x:f>
        <x:v>0.475</x:v>
      </x:c>
      <x:c r="G103" s="26" t="n">
        <x:v>57</x:v>
      </x:c>
      <x:c r="H103" s="26" t="n">
        <x:v>120</x:v>
      </x:c>
      <x:c r="I103" s="32" t="str">
        <x:f>IF(AND(D103=G103,E103=H103),"KHỚP","LỖI")</x:f>
        <x:v>KHỚP</x:v>
      </x:c>
    </x:row>
    <x:row r="104" ht="39" customHeight="1">
      <x:c r="A104" s="12" t="str">
        <x:v>Q15</x:v>
      </x:c>
      <x:c r="B104" s="12" t="str">
        <x:v>failure_and_help</x:v>
      </x:c>
      <x:c r="C104" s="12" t="str">
        <x:v>Giao không thành công và cách xử lý</x:v>
      </x:c>
      <x:c r="D104" s="29" t="n">
        <x:f>SUMIFS('DuLieuGoc'!$BK$6:$BK$149,'DuLieuGoc'!$G$6:$G$149,'Codebook'!$B$6)</x:f>
        <x:v>73</x:v>
      </x:c>
      <x:c r="E104" s="29" t="n">
        <x:f>COUNTIFS('DuLieuGoc'!$G$6:$G$149,'Codebook'!$B$6,'DuLieuGoc'!$BE$6:$BE$149,"&lt;&gt;")</x:f>
        <x:v>120</x:v>
      </x:c>
      <x:c r="F104" s="31" t="n">
        <x:f>IF(E104=0,"",D104/E104)</x:f>
        <x:v>0.6083333333333333</x:v>
      </x:c>
      <x:c r="G104" s="27" t="n">
        <x:v>73</x:v>
      </x:c>
      <x:c r="H104" s="27" t="n">
        <x:v>120</x:v>
      </x:c>
      <x:c r="I104" s="33" t="str">
        <x:f>IF(AND(D104=G104,E104=H104),"KHỚP","LỖI")</x:f>
        <x:v>KHỚP</x:v>
      </x:c>
    </x:row>
    <x:row r="105" ht="39" customHeight="1">
      <x:c r="A105" s="11" t="str">
        <x:v>Q16</x:v>
      </x:c>
      <x:c r="B105" s="11" t="str">
        <x:v>very_willing</x:v>
      </x:c>
      <x:c r="C105" s="11" t="str">
        <x:v>Rất sẵn sàng</x:v>
      </x:c>
      <x:c r="D105" s="28" t="n">
        <x:f>COUNTIFS('DuLieuGoc'!$G$6:$G$149,'Codebook'!$B$6,'DuLieuGoc'!$BL$6:$BL$149,B105)</x:f>
        <x:v>19</x:v>
      </x:c>
      <x:c r="E105" s="28" t="n">
        <x:f>COUNTIFS('DuLieuGoc'!$G$6:$G$149,'Codebook'!$B$6,'DuLieuGoc'!$BL$6:$BL$149,"&lt;&gt;")</x:f>
        <x:v>120</x:v>
      </x:c>
      <x:c r="F105" s="30" t="n">
        <x:f>IF(E105=0,"",D105/E105)</x:f>
        <x:v>0.15833333333333333</x:v>
      </x:c>
      <x:c r="G105" s="26" t="n">
        <x:v>19</x:v>
      </x:c>
      <x:c r="H105" s="26" t="n">
        <x:v>120</x:v>
      </x:c>
      <x:c r="I105" s="32" t="str">
        <x:f>IF(AND(D105=G105,E105=H105),"KHỚP","LỖI")</x:f>
        <x:v>KHỚP</x:v>
      </x:c>
    </x:row>
    <x:row r="106" ht="39" customHeight="1">
      <x:c r="A106" s="12" t="str">
        <x:v>Q16</x:v>
      </x:c>
      <x:c r="B106" s="12" t="str">
        <x:v>fairly_willing</x:v>
      </x:c>
      <x:c r="C106" s="12" t="str">
        <x:v>Khá sẵn sàng</x:v>
      </x:c>
      <x:c r="D106" s="29" t="n">
        <x:f>COUNTIFS('DuLieuGoc'!$G$6:$G$149,'Codebook'!$B$6,'DuLieuGoc'!$BL$6:$BL$149,B106)</x:f>
        <x:v>55</x:v>
      </x:c>
      <x:c r="E106" s="29" t="n">
        <x:f>COUNTIFS('DuLieuGoc'!$G$6:$G$149,'Codebook'!$B$6,'DuLieuGoc'!$BL$6:$BL$149,"&lt;&gt;")</x:f>
        <x:v>120</x:v>
      </x:c>
      <x:c r="F106" s="31" t="n">
        <x:f>IF(E106=0,"",D106/E106)</x:f>
        <x:v>0.4583333333333333</x:v>
      </x:c>
      <x:c r="G106" s="27" t="n">
        <x:v>55</x:v>
      </x:c>
      <x:c r="H106" s="27" t="n">
        <x:v>120</x:v>
      </x:c>
      <x:c r="I106" s="33" t="str">
        <x:f>IF(AND(D106=G106,E106=H106),"KHỚP","LỖI")</x:f>
        <x:v>KHỚP</x:v>
      </x:c>
    </x:row>
    <x:row r="107" ht="39" customHeight="1">
      <x:c r="A107" s="11" t="str">
        <x:v>Q16</x:v>
      </x:c>
      <x:c r="B107" s="11" t="str">
        <x:v>neutral</x:v>
      </x:c>
      <x:c r="C107" s="11" t="str">
        <x:v>Trung lập</x:v>
      </x:c>
      <x:c r="D107" s="28" t="n">
        <x:f>COUNTIFS('DuLieuGoc'!$G$6:$G$149,'Codebook'!$B$6,'DuLieuGoc'!$BL$6:$BL$149,B107)</x:f>
        <x:v>28</x:v>
      </x:c>
      <x:c r="E107" s="28" t="n">
        <x:f>COUNTIFS('DuLieuGoc'!$G$6:$G$149,'Codebook'!$B$6,'DuLieuGoc'!$BL$6:$BL$149,"&lt;&gt;")</x:f>
        <x:v>120</x:v>
      </x:c>
      <x:c r="F107" s="30" t="n">
        <x:f>IF(E107=0,"",D107/E107)</x:f>
        <x:v>0.23333333333333334</x:v>
      </x:c>
      <x:c r="G107" s="26" t="n">
        <x:v>28</x:v>
      </x:c>
      <x:c r="H107" s="26" t="n">
        <x:v>120</x:v>
      </x:c>
      <x:c r="I107" s="32" t="str">
        <x:f>IF(AND(D107=G107,E107=H107),"KHỚP","LỖI")</x:f>
        <x:v>KHỚP</x:v>
      </x:c>
    </x:row>
    <x:row r="108" ht="39" customHeight="1">
      <x:c r="A108" s="12" t="str">
        <x:v>Q16</x:v>
      </x:c>
      <x:c r="B108" s="12" t="str">
        <x:v>less_willing</x:v>
      </x:c>
      <x:c r="C108" s="12" t="str">
        <x:v>Ít sẵn sàng</x:v>
      </x:c>
      <x:c r="D108" s="29" t="n">
        <x:f>COUNTIFS('DuLieuGoc'!$G$6:$G$149,'Codebook'!$B$6,'DuLieuGoc'!$BL$6:$BL$149,B108)</x:f>
        <x:v>15</x:v>
      </x:c>
      <x:c r="E108" s="29" t="n">
        <x:f>COUNTIFS('DuLieuGoc'!$G$6:$G$149,'Codebook'!$B$6,'DuLieuGoc'!$BL$6:$BL$149,"&lt;&gt;")</x:f>
        <x:v>120</x:v>
      </x:c>
      <x:c r="F108" s="31" t="n">
        <x:f>IF(E108=0,"",D108/E108)</x:f>
        <x:v>0.125</x:v>
      </x:c>
      <x:c r="G108" s="27" t="n">
        <x:v>15</x:v>
      </x:c>
      <x:c r="H108" s="27" t="n">
        <x:v>120</x:v>
      </x:c>
      <x:c r="I108" s="33" t="str">
        <x:f>IF(AND(D108=G108,E108=H108),"KHỚP","LỖI")</x:f>
        <x:v>KHỚP</x:v>
      </x:c>
    </x:row>
    <x:row r="109" ht="39" customHeight="1">
      <x:c r="A109" s="11" t="str">
        <x:v>Q16</x:v>
      </x:c>
      <x:c r="B109" s="11" t="str">
        <x:v>unwilling</x:v>
      </x:c>
      <x:c r="C109" s="11" t="str">
        <x:v>Không sẵn sàng</x:v>
      </x:c>
      <x:c r="D109" s="28" t="n">
        <x:f>COUNTIFS('DuLieuGoc'!$G$6:$G$149,'Codebook'!$B$6,'DuLieuGoc'!$BL$6:$BL$149,B109)</x:f>
        <x:v>3</x:v>
      </x:c>
      <x:c r="E109" s="28" t="n">
        <x:f>COUNTIFS('DuLieuGoc'!$G$6:$G$149,'Codebook'!$B$6,'DuLieuGoc'!$BL$6:$BL$149,"&lt;&gt;")</x:f>
        <x:v>120</x:v>
      </x:c>
      <x:c r="F109" s="30" t="n">
        <x:f>IF(E109=0,"",D109/E109)</x:f>
        <x:v>0.025</x:v>
      </x:c>
      <x:c r="G109" s="26" t="n">
        <x:v>3</x:v>
      </x:c>
      <x:c r="H109" s="26" t="n">
        <x:v>120</x:v>
      </x:c>
      <x:c r="I109" s="32" t="str">
        <x:f>IF(AND(D109=G109,E109=H109),"KHỚP","LỖI")</x:f>
        <x:v>KHỚP</x:v>
      </x:c>
    </x:row>
    <x:row r="110" ht="39" customHeight="1">
      <x:c r="A110" s="2"/>
      <x:c r="B110" s="2"/>
      <x:c r="C110" s="2"/>
      <x:c r="D110" s="2"/>
      <x:c r="E110" s="2"/>
      <x:c r="F110" s="2"/>
      <x:c r="G110" s="2"/>
      <x:c r="H110" s="2"/>
      <x:c r="I110" s="2"/>
    </x:row>
    <x:row r="111" ht="39" customHeight="1">
      <x:c r="A111" s="2"/>
      <x:c r="B111" s="2"/>
      <x:c r="C111" s="2"/>
      <x:c r="D111" s="2"/>
      <x:c r="E111" s="2"/>
      <x:c r="F111" s="2"/>
      <x:c r="G111" s="2"/>
      <x:c r="H111" s="2"/>
      <x:c r="I111" s="2"/>
    </x:row>
    <x:row r="112" ht="39" customHeight="1">
      <x:c r="A112" s="2"/>
      <x:c r="B112" s="2"/>
      <x:c r="C112" s="2"/>
      <x:c r="D112" s="2"/>
      <x:c r="E112" s="2"/>
      <x:c r="F112" s="2"/>
      <x:c r="G112" s="2"/>
      <x:c r="H112" s="2"/>
      <x:c r="I112" s="2"/>
    </x:row>
    <x:row r="113" ht="39" customHeight="1">
      <x:c r="A113" s="9" t="str">
        <x:v>So sánh theo nhóm</x:v>
      </x:c>
      <x:c r="B113" s="9" t="str">
        <x:v>Mã nhóm gốc</x:v>
      </x:c>
      <x:c r="C113" s="9" t="str">
        <x:v>Mã kết quả gốc</x:v>
      </x:c>
      <x:c r="D113" s="9" t="str">
        <x:v>Số người chọn</x:v>
      </x:c>
      <x:c r="E113" s="9" t="str">
        <x:v>Số người trong nhóm</x:v>
      </x:c>
      <x:c r="F113" s="9" t="str">
        <x:v>Tỷ lệ trong nhóm</x:v>
      </x:c>
      <x:c r="G113" s="9" t="str">
        <x:v>Số chọn: nguồn</x:v>
      </x:c>
      <x:c r="H113" s="9" t="str">
        <x:v>Số nhóm: nguồn</x:v>
      </x:c>
      <x:c r="I113" s="9" t="str">
        <x:v>Đối chiếu</x:v>
      </x:c>
    </x:row>
    <x:row r="114" ht="39" customHeight="1">
      <x:c r="A114" s="11" t="str">
        <x:v>Tuổi và khó chọn cỡ: 18–24</x:v>
      </x:c>
      <x:c r="B114" s="11" t="str">
        <x:v>age_18_24</x:v>
      </x:c>
      <x:c r="C114" s="11" t="str">
        <x:v>size_uncertain</x:v>
      </x:c>
      <x:c r="D114" s="18" t="n">
        <x:f>COUNTIFS('DuLieuGoc'!$G$6:$G$149,'Codebook'!$B$6,'DuLieuGoc'!$K$6:$K$149,B114,'DuLieuGoc'!$V$6:$V$149,'Codebook'!$B$9)</x:f>
        <x:v>26</x:v>
      </x:c>
      <x:c r="E114" s="18" t="n">
        <x:f>COUNTIFS('DuLieuGoc'!$G$6:$G$149,'Codebook'!$B$6,'DuLieuGoc'!$K$6:$K$149,B114)</x:f>
        <x:v>42</x:v>
      </x:c>
      <x:c r="F114" s="30" t="n">
        <x:f>IF(E114=0,"",D114/E114)</x:f>
        <x:v>0.6190476190476191</x:v>
      </x:c>
      <x:c r="G114" s="11" t="n">
        <x:v>26</x:v>
      </x:c>
      <x:c r="H114" s="11" t="n">
        <x:v>42</x:v>
      </x:c>
      <x:c r="I114" s="32" t="str">
        <x:f>IF(AND(D114=G114,E114=H114),"KHỚP","LỖI")</x:f>
        <x:v>KHỚP</x:v>
      </x:c>
    </x:row>
    <x:row r="115" ht="39" customHeight="1">
      <x:c r="A115" s="12" t="str">
        <x:v>Tuổi và khó chọn cỡ: 25–34</x:v>
      </x:c>
      <x:c r="B115" s="12" t="str">
        <x:v>age_25_34</x:v>
      </x:c>
      <x:c r="C115" s="12" t="str">
        <x:v>size_uncertain</x:v>
      </x:c>
      <x:c r="D115" s="19" t="n">
        <x:f>COUNTIFS('DuLieuGoc'!$G$6:$G$149,'Codebook'!$B$6,'DuLieuGoc'!$K$6:$K$149,B115,'DuLieuGoc'!$V$6:$V$149,'Codebook'!$B$9)</x:f>
        <x:v>34</x:v>
      </x:c>
      <x:c r="E115" s="19" t="n">
        <x:f>COUNTIFS('DuLieuGoc'!$G$6:$G$149,'Codebook'!$B$6,'DuLieuGoc'!$K$6:$K$149,B115)</x:f>
        <x:v>48</x:v>
      </x:c>
      <x:c r="F115" s="31" t="n">
        <x:f>IF(E115=0,"",D115/E115)</x:f>
        <x:v>0.7083333333333334</x:v>
      </x:c>
      <x:c r="G115" s="12" t="n">
        <x:v>34</x:v>
      </x:c>
      <x:c r="H115" s="12" t="n">
        <x:v>48</x:v>
      </x:c>
      <x:c r="I115" s="33" t="str">
        <x:f>IF(AND(D115=G115,E115=H115),"KHỚP","LỖI")</x:f>
        <x:v>KHỚP</x:v>
      </x:c>
    </x:row>
    <x:row r="116" ht="39" customHeight="1">
      <x:c r="A116" s="11" t="str">
        <x:v>Tuổi và khó chọn cỡ: 35–44</x:v>
      </x:c>
      <x:c r="B116" s="11" t="str">
        <x:v>age_35_44</x:v>
      </x:c>
      <x:c r="C116" s="11" t="str">
        <x:v>size_uncertain</x:v>
      </x:c>
      <x:c r="D116" s="18" t="n">
        <x:f>COUNTIFS('DuLieuGoc'!$G$6:$G$149,'Codebook'!$B$6,'DuLieuGoc'!$K$6:$K$149,B116,'DuLieuGoc'!$V$6:$V$149,'Codebook'!$B$9)</x:f>
        <x:v>14</x:v>
      </x:c>
      <x:c r="E116" s="18" t="n">
        <x:f>COUNTIFS('DuLieuGoc'!$G$6:$G$149,'Codebook'!$B$6,'DuLieuGoc'!$K$6:$K$149,B116)</x:f>
        <x:v>30</x:v>
      </x:c>
      <x:c r="F116" s="30" t="n">
        <x:f>IF(E116=0,"",D116/E116)</x:f>
        <x:v>0.4666666666666667</x:v>
      </x:c>
      <x:c r="G116" s="11" t="n">
        <x:v>14</x:v>
      </x:c>
      <x:c r="H116" s="11" t="n">
        <x:v>30</x:v>
      </x:c>
      <x:c r="I116" s="32" t="str">
        <x:f>IF(AND(D116=G116,E116=H116),"KHỚP","LỖI")</x:f>
        <x:v>KHỚP</x:v>
      </x:c>
    </x:row>
    <x:row r="117" ht="39" customHeight="1">
      <x:c r="A117" s="12" t="str">
        <x:v>Cách mua và bỏ dở: Mua không tài khoản</x:v>
      </x:c>
      <x:c r="B117" s="12" t="str">
        <x:v>guest</x:v>
      </x:c>
      <x:c r="C117" s="12" t="str">
        <x:v>yes</x:v>
      </x:c>
      <x:c r="D117" s="19" t="n">
        <x:f>COUNTIFS('DuLieuGoc'!$G$6:$G$149,'Codebook'!$B$6,'DuLieuGoc'!$BD$6:$BD$149,B117,'DuLieuGoc'!$AH$6:$AH$149,C117)</x:f>
        <x:v>34</x:v>
      </x:c>
      <x:c r="E117" s="19" t="n">
        <x:f>COUNTIFS('DuLieuGoc'!$G$6:$G$149,'Codebook'!$B$6,'DuLieuGoc'!$BD$6:$BD$149,B117)</x:f>
        <x:v>47</x:v>
      </x:c>
      <x:c r="F117" s="31" t="n">
        <x:f>IF(E117=0,"",D117/E117)</x:f>
        <x:v>0.723404255319149</x:v>
      </x:c>
      <x:c r="G117" s="12" t="n">
        <x:v>34</x:v>
      </x:c>
      <x:c r="H117" s="12" t="n">
        <x:v>47</x:v>
      </x:c>
      <x:c r="I117" s="33" t="str">
        <x:f>IF(AND(D117=G117,E117=H117),"KHỚP","LỖI")</x:f>
        <x:v>KHỚP</x:v>
      </x:c>
    </x:row>
    <x:row r="118" ht="39" customHeight="1">
      <x:c r="A118" s="11" t="str">
        <x:v>Cách mua và bỏ dở: Mua không tài khoản</x:v>
      </x:c>
      <x:c r="B118" s="11" t="str">
        <x:v>guest</x:v>
      </x:c>
      <x:c r="C118" s="11" t="str">
        <x:v>no</x:v>
      </x:c>
      <x:c r="D118" s="18" t="n">
        <x:f>COUNTIFS('DuLieuGoc'!$G$6:$G$149,'Codebook'!$B$6,'DuLieuGoc'!$BD$6:$BD$149,B118,'DuLieuGoc'!$AH$6:$AH$149,C118)</x:f>
        <x:v>12</x:v>
      </x:c>
      <x:c r="E118" s="18" t="n">
        <x:f>COUNTIFS('DuLieuGoc'!$G$6:$G$149,'Codebook'!$B$6,'DuLieuGoc'!$BD$6:$BD$149,B118)</x:f>
        <x:v>47</x:v>
      </x:c>
      <x:c r="F118" s="30" t="n">
        <x:f>IF(E118=0,"",D118/E118)</x:f>
        <x:v>0.2553191489361702</x:v>
      </x:c>
      <x:c r="G118" s="11" t="n">
        <x:v>12</x:v>
      </x:c>
      <x:c r="H118" s="11" t="n">
        <x:v>47</x:v>
      </x:c>
      <x:c r="I118" s="32" t="str">
        <x:f>IF(AND(D118=G118,E118=H118),"KHỚP","LỖI")</x:f>
        <x:v>KHỚP</x:v>
      </x:c>
    </x:row>
    <x:row r="119" ht="39" customHeight="1">
      <x:c r="A119" s="12" t="str">
        <x:v>Cách mua và bỏ dở: Mua không tài khoản</x:v>
      </x:c>
      <x:c r="B119" s="12" t="str">
        <x:v>guest</x:v>
      </x:c>
      <x:c r="C119" s="12" t="str">
        <x:v>cannot_recall</x:v>
      </x:c>
      <x:c r="D119" s="19" t="n">
        <x:f>COUNTIFS('DuLieuGoc'!$G$6:$G$149,'Codebook'!$B$6,'DuLieuGoc'!$BD$6:$BD$149,B119,'DuLieuGoc'!$AH$6:$AH$149,C119)</x:f>
        <x:v>1</x:v>
      </x:c>
      <x:c r="E119" s="19" t="n">
        <x:f>COUNTIFS('DuLieuGoc'!$G$6:$G$149,'Codebook'!$B$6,'DuLieuGoc'!$BD$6:$BD$149,B119)</x:f>
        <x:v>47</x:v>
      </x:c>
      <x:c r="F119" s="31" t="n">
        <x:f>IF(E119=0,"",D119/E119)</x:f>
        <x:v>0.02127659574468085</x:v>
      </x:c>
      <x:c r="G119" s="12" t="n">
        <x:v>1</x:v>
      </x:c>
      <x:c r="H119" s="12" t="n">
        <x:v>47</x:v>
      </x:c>
      <x:c r="I119" s="33" t="str">
        <x:f>IF(AND(D119=G119,E119=H119),"KHỚP","LỖI")</x:f>
        <x:v>KHỚP</x:v>
      </x:c>
    </x:row>
    <x:row r="120" ht="39" customHeight="1">
      <x:c r="A120" s="11" t="str">
        <x:v>Cách mua và bỏ dở: Đăng ký ngay</x:v>
      </x:c>
      <x:c r="B120" s="11" t="str">
        <x:v>register_now</x:v>
      </x:c>
      <x:c r="C120" s="11" t="str">
        <x:v>yes</x:v>
      </x:c>
      <x:c r="D120" s="18" t="n">
        <x:f>COUNTIFS('DuLieuGoc'!$G$6:$G$149,'Codebook'!$B$6,'DuLieuGoc'!$BD$6:$BD$149,B120,'DuLieuGoc'!$AH$6:$AH$149,C120)</x:f>
        <x:v>5</x:v>
      </x:c>
      <x:c r="E120" s="18" t="n">
        <x:f>COUNTIFS('DuLieuGoc'!$G$6:$G$149,'Codebook'!$B$6,'DuLieuGoc'!$BD$6:$BD$149,B120)</x:f>
        <x:v>19</x:v>
      </x:c>
      <x:c r="F120" s="30" t="n">
        <x:f>IF(E120=0,"",D120/E120)</x:f>
        <x:v>0.2631578947368421</x:v>
      </x:c>
      <x:c r="G120" s="11" t="n">
        <x:v>5</x:v>
      </x:c>
      <x:c r="H120" s="11" t="n">
        <x:v>19</x:v>
      </x:c>
      <x:c r="I120" s="32" t="str">
        <x:f>IF(AND(D120=G120,E120=H120),"KHỚP","LỖI")</x:f>
        <x:v>KHỚP</x:v>
      </x:c>
    </x:row>
    <x:row r="121" ht="39" customHeight="1">
      <x:c r="A121" s="12" t="str">
        <x:v>Cách mua và bỏ dở: Đăng ký ngay</x:v>
      </x:c>
      <x:c r="B121" s="12" t="str">
        <x:v>register_now</x:v>
      </x:c>
      <x:c r="C121" s="12" t="str">
        <x:v>no</x:v>
      </x:c>
      <x:c r="D121" s="19" t="n">
        <x:f>COUNTIFS('DuLieuGoc'!$G$6:$G$149,'Codebook'!$B$6,'DuLieuGoc'!$BD$6:$BD$149,B121,'DuLieuGoc'!$AH$6:$AH$149,C121)</x:f>
        <x:v>12</x:v>
      </x:c>
      <x:c r="E121" s="19" t="n">
        <x:f>COUNTIFS('DuLieuGoc'!$G$6:$G$149,'Codebook'!$B$6,'DuLieuGoc'!$BD$6:$BD$149,B121)</x:f>
        <x:v>19</x:v>
      </x:c>
      <x:c r="F121" s="31" t="n">
        <x:f>IF(E121=0,"",D121/E121)</x:f>
        <x:v>0.631578947368421</x:v>
      </x:c>
      <x:c r="G121" s="12" t="n">
        <x:v>12</x:v>
      </x:c>
      <x:c r="H121" s="12" t="n">
        <x:v>19</x:v>
      </x:c>
      <x:c r="I121" s="33" t="str">
        <x:f>IF(AND(D121=G121,E121=H121),"KHỚP","LỖI")</x:f>
        <x:v>KHỚP</x:v>
      </x:c>
    </x:row>
    <x:row r="122" ht="39" customHeight="1">
      <x:c r="A122" s="11" t="str">
        <x:v>Cách mua và bỏ dở: Đăng ký ngay</x:v>
      </x:c>
      <x:c r="B122" s="11" t="str">
        <x:v>register_now</x:v>
      </x:c>
      <x:c r="C122" s="11" t="str">
        <x:v>cannot_recall</x:v>
      </x:c>
      <x:c r="D122" s="18" t="n">
        <x:f>COUNTIFS('DuLieuGoc'!$G$6:$G$149,'Codebook'!$B$6,'DuLieuGoc'!$BD$6:$BD$149,B122,'DuLieuGoc'!$AH$6:$AH$149,C122)</x:f>
        <x:v>2</x:v>
      </x:c>
      <x:c r="E122" s="18" t="n">
        <x:f>COUNTIFS('DuLieuGoc'!$G$6:$G$149,'Codebook'!$B$6,'DuLieuGoc'!$BD$6:$BD$149,B122)</x:f>
        <x:v>19</x:v>
      </x:c>
      <x:c r="F122" s="30" t="n">
        <x:f>IF(E122=0,"",D122/E122)</x:f>
        <x:v>0.10526315789473684</x:v>
      </x:c>
      <x:c r="G122" s="11" t="n">
        <x:v>2</x:v>
      </x:c>
      <x:c r="H122" s="11" t="n">
        <x:v>19</x:v>
      </x:c>
      <x:c r="I122" s="32" t="str">
        <x:f>IF(AND(D122=G122,E122=H122),"KHỚP","LỖI")</x:f>
        <x:v>KHỚP</x:v>
      </x:c>
    </x:row>
    <x:row r="123" ht="39" customHeight="1">
      <x:c r="A123" s="12" t="str">
        <x:v>Cách mua và bỏ dở: Tùy lợi ích</x:v>
      </x:c>
      <x:c r="B123" s="12" t="str">
        <x:v>depends_on_benefits</x:v>
      </x:c>
      <x:c r="C123" s="12" t="str">
        <x:v>yes</x:v>
      </x:c>
      <x:c r="D123" s="19" t="n">
        <x:f>COUNTIFS('DuLieuGoc'!$G$6:$G$149,'Codebook'!$B$6,'DuLieuGoc'!$BD$6:$BD$149,B123,'DuLieuGoc'!$AH$6:$AH$149,C123)</x:f>
        <x:v>19</x:v>
      </x:c>
      <x:c r="E123" s="19" t="n">
        <x:f>COUNTIFS('DuLieuGoc'!$G$6:$G$149,'Codebook'!$B$6,'DuLieuGoc'!$BD$6:$BD$149,B123)</x:f>
        <x:v>48</x:v>
      </x:c>
      <x:c r="F123" s="31" t="n">
        <x:f>IF(E123=0,"",D123/E123)</x:f>
        <x:v>0.3958333333333333</x:v>
      </x:c>
      <x:c r="G123" s="12" t="n">
        <x:v>19</x:v>
      </x:c>
      <x:c r="H123" s="12" t="n">
        <x:v>48</x:v>
      </x:c>
      <x:c r="I123" s="33" t="str">
        <x:f>IF(AND(D123=G123,E123=H123),"KHỚP","LỖI")</x:f>
        <x:v>KHỚP</x:v>
      </x:c>
    </x:row>
    <x:row r="124" ht="39" customHeight="1">
      <x:c r="A124" s="11" t="str">
        <x:v>Cách mua và bỏ dở: Tùy lợi ích</x:v>
      </x:c>
      <x:c r="B124" s="11" t="str">
        <x:v>depends_on_benefits</x:v>
      </x:c>
      <x:c r="C124" s="11" t="str">
        <x:v>no</x:v>
      </x:c>
      <x:c r="D124" s="18" t="n">
        <x:f>COUNTIFS('DuLieuGoc'!$G$6:$G$149,'Codebook'!$B$6,'DuLieuGoc'!$BD$6:$BD$149,B124,'DuLieuGoc'!$AH$6:$AH$149,C124)</x:f>
        <x:v>24</x:v>
      </x:c>
      <x:c r="E124" s="18" t="n">
        <x:f>COUNTIFS('DuLieuGoc'!$G$6:$G$149,'Codebook'!$B$6,'DuLieuGoc'!$BD$6:$BD$149,B124)</x:f>
        <x:v>48</x:v>
      </x:c>
      <x:c r="F124" s="30" t="n">
        <x:f>IF(E124=0,"",D124/E124)</x:f>
        <x:v>0.5</x:v>
      </x:c>
      <x:c r="G124" s="11" t="n">
        <x:v>24</x:v>
      </x:c>
      <x:c r="H124" s="11" t="n">
        <x:v>48</x:v>
      </x:c>
      <x:c r="I124" s="32" t="str">
        <x:f>IF(AND(D124=G124,E124=H124),"KHỚP","LỖI")</x:f>
        <x:v>KHỚP</x:v>
      </x:c>
    </x:row>
    <x:row r="125" ht="39" customHeight="1">
      <x:c r="A125" s="12" t="str">
        <x:v>Cách mua và bỏ dở: Tùy lợi ích</x:v>
      </x:c>
      <x:c r="B125" s="12" t="str">
        <x:v>depends_on_benefits</x:v>
      </x:c>
      <x:c r="C125" s="12" t="str">
        <x:v>cannot_recall</x:v>
      </x:c>
      <x:c r="D125" s="19" t="n">
        <x:f>COUNTIFS('DuLieuGoc'!$G$6:$G$149,'Codebook'!$B$6,'DuLieuGoc'!$BD$6:$BD$149,B125,'DuLieuGoc'!$AH$6:$AH$149,C125)</x:f>
        <x:v>5</x:v>
      </x:c>
      <x:c r="E125" s="19" t="n">
        <x:f>COUNTIFS('DuLieuGoc'!$G$6:$G$149,'Codebook'!$B$6,'DuLieuGoc'!$BD$6:$BD$149,B125)</x:f>
        <x:v>48</x:v>
      </x:c>
      <x:c r="F125" s="31" t="n">
        <x:f>IF(E125=0,"",D125/E125)</x:f>
        <x:v>0.10416666666666667</x:v>
      </x:c>
      <x:c r="G125" s="12" t="n">
        <x:v>5</x:v>
      </x:c>
      <x:c r="H125" s="12" t="n">
        <x:v>48</x:v>
      </x:c>
      <x:c r="I125" s="33" t="str">
        <x:f>IF(AND(D125=G125,E125=H125),"KHỚP","LỖI")</x:f>
        <x:v>KHỚP</x:v>
      </x:c>
    </x:row>
    <x:row r="126" ht="39" customHeight="1">
      <x:c r="A126" s="11" t="str">
        <x:v>Cách mua và bỏ dở: Không chắc</x:v>
      </x:c>
      <x:c r="B126" s="11" t="str">
        <x:v>unsure</x:v>
      </x:c>
      <x:c r="C126" s="11" t="str">
        <x:v>yes</x:v>
      </x:c>
      <x:c r="D126" s="18" t="n">
        <x:f>COUNTIFS('DuLieuGoc'!$G$6:$G$149,'Codebook'!$B$6,'DuLieuGoc'!$BD$6:$BD$149,B126,'DuLieuGoc'!$AH$6:$AH$149,C126)</x:f>
        <x:v>2</x:v>
      </x:c>
      <x:c r="E126" s="18" t="n">
        <x:f>COUNTIFS('DuLieuGoc'!$G$6:$G$149,'Codebook'!$B$6,'DuLieuGoc'!$BD$6:$BD$149,B126)</x:f>
        <x:v>6</x:v>
      </x:c>
      <x:c r="F126" s="30" t="n">
        <x:f>IF(E126=0,"",D126/E126)</x:f>
        <x:v>0.3333333333333333</x:v>
      </x:c>
      <x:c r="G126" s="11" t="n">
        <x:v>2</x:v>
      </x:c>
      <x:c r="H126" s="11" t="n">
        <x:v>6</x:v>
      </x:c>
      <x:c r="I126" s="32" t="str">
        <x:f>IF(AND(D126=G126,E126=H126),"KHỚP","LỖI")</x:f>
        <x:v>KHỚP</x:v>
      </x:c>
    </x:row>
    <x:row r="127" ht="39" customHeight="1">
      <x:c r="A127" s="12" t="str">
        <x:v>Cách mua và bỏ dở: Không chắc</x:v>
      </x:c>
      <x:c r="B127" s="12" t="str">
        <x:v>unsure</x:v>
      </x:c>
      <x:c r="C127" s="12" t="str">
        <x:v>no</x:v>
      </x:c>
      <x:c r="D127" s="19" t="n">
        <x:f>COUNTIFS('DuLieuGoc'!$G$6:$G$149,'Codebook'!$B$6,'DuLieuGoc'!$BD$6:$BD$149,B127,'DuLieuGoc'!$AH$6:$AH$149,C127)</x:f>
        <x:v>4</x:v>
      </x:c>
      <x:c r="E127" s="19" t="n">
        <x:f>COUNTIFS('DuLieuGoc'!$G$6:$G$149,'Codebook'!$B$6,'DuLieuGoc'!$BD$6:$BD$149,B127)</x:f>
        <x:v>6</x:v>
      </x:c>
      <x:c r="F127" s="31" t="n">
        <x:f>IF(E127=0,"",D127/E127)</x:f>
        <x:v>0.6666666666666666</x:v>
      </x:c>
      <x:c r="G127" s="12" t="n">
        <x:v>4</x:v>
      </x:c>
      <x:c r="H127" s="12" t="n">
        <x:v>6</x:v>
      </x:c>
      <x:c r="I127" s="33" t="str">
        <x:f>IF(AND(D127=G127,E127=H127),"KHỚP","LỖI")</x:f>
        <x:v>KHỚP</x:v>
      </x:c>
    </x:row>
    <x:row r="128" ht="39" customHeight="1">
      <x:c r="A128" s="11" t="str">
        <x:v>Cách mua và bỏ dở: Không chắc</x:v>
      </x:c>
      <x:c r="B128" s="11" t="str">
        <x:v>unsure</x:v>
      </x:c>
      <x:c r="C128" s="11" t="str">
        <x:v>cannot_recall</x:v>
      </x:c>
      <x:c r="D128" s="18" t="n">
        <x:f>COUNTIFS('DuLieuGoc'!$G$6:$G$149,'Codebook'!$B$6,'DuLieuGoc'!$BD$6:$BD$149,B128,'DuLieuGoc'!$AH$6:$AH$149,C128)</x:f>
        <x:v>0</x:v>
      </x:c>
      <x:c r="E128" s="18" t="n">
        <x:f>COUNTIFS('DuLieuGoc'!$G$6:$G$149,'Codebook'!$B$6,'DuLieuGoc'!$BD$6:$BD$149,B128)</x:f>
        <x:v>6</x:v>
      </x:c>
      <x:c r="F128" s="30" t="n">
        <x:f>IF(E128=0,"",D128/E128)</x:f>
        <x:v>0</x:v>
      </x:c>
      <x:c r="G128" s="11" t="n">
        <x:v>0</x:v>
      </x:c>
      <x:c r="H128" s="11" t="n">
        <x:v>6</x:v>
      </x:c>
      <x:c r="I128" s="32" t="str">
        <x:f>IF(AND(D128=G128,E128=H128),"KHỚP","LỖI")</x:f>
        <x:v>KHỚP</x:v>
      </x:c>
    </x:row>
    <x:row r="129" ht="24" customHeight="1">
      <x:c r="A129" s="2"/>
      <x:c r="B129" s="2"/>
      <x:c r="C129" s="2"/>
      <x:c r="D129" s="2"/>
      <x:c r="E129" s="2"/>
      <x:c r="F129" s="2"/>
      <x:c r="G129" s="2"/>
      <x:c r="H129" s="2"/>
      <x:c r="I129" s="2"/>
    </x:row>
    <x:row r="130" ht="24" customHeight="1">
      <x:c r="A130" s="2"/>
      <x:c r="B130" s="2"/>
      <x:c r="C130" s="2"/>
      <x:c r="D130" s="2"/>
      <x:c r="E130" s="2"/>
      <x:c r="F130" s="2"/>
      <x:c r="G130" s="2"/>
      <x:c r="H130" s="2"/>
      <x:c r="I130" s="2"/>
    </x:row>
    <x:row r="131" ht="24" customHeight="1">
      <x:c r="A131" s="2"/>
      <x:c r="B131" s="2"/>
      <x:c r="C131" s="2"/>
      <x:c r="D131" s="2"/>
      <x:c r="E131" s="2"/>
      <x:c r="F131" s="2"/>
      <x:c r="G131" s="2"/>
      <x:c r="H131" s="2"/>
      <x:c r="I131" s="2"/>
    </x:row>
    <x:row r="132" ht="24" customHeight="1">
      <x:c r="A132" s="8" t="str">
        <x:v>Khó khăn mua hàng · SYN</x:v>
      </x:c>
      <x:c r="B132" s="8" t="str">
        <x:v>Tỷ lệ người chọn</x:v>
      </x:c>
      <x:c r="C132" s="2"/>
      <x:c r="D132" s="2"/>
      <x:c r="E132" s="2"/>
      <x:c r="F132" s="2"/>
      <x:c r="G132" s="2"/>
      <x:c r="H132" s="2"/>
      <x:c r="I132" s="2"/>
    </x:row>
    <x:row r="133" ht="24" customHeight="1">
      <x:c r="A133" s="2" t="str">
        <x:f>C53</x:f>
        <x:v>Không chắc cỡ phù hợp</x:v>
      </x:c>
      <x:c r="B133" s="34" t="n">
        <x:f>F53</x:f>
        <x:v>0.6166666666666667</x:v>
      </x:c>
      <x:c r="C133" s="2"/>
      <x:c r="D133" s="2"/>
      <x:c r="E133" s="2"/>
      <x:c r="F133" s="2"/>
      <x:c r="G133" s="2"/>
      <x:c r="H133" s="2"/>
      <x:c r="I133" s="2"/>
    </x:row>
    <x:row r="134" ht="24" customHeight="1">
      <x:c r="A134" s="2" t="str">
        <x:f>C54</x:f>
        <x:v>Hàng khác ảnh hoặc mô tả</x:v>
      </x:c>
      <x:c r="B134" s="34" t="n">
        <x:f>F54</x:f>
        <x:v>0.5833333333333334</x:v>
      </x:c>
      <x:c r="C134" s="2"/>
      <x:c r="D134" s="2"/>
      <x:c r="E134" s="2"/>
      <x:c r="F134" s="2"/>
      <x:c r="G134" s="2"/>
      <x:c r="H134" s="2"/>
      <x:c r="I134" s="2"/>
    </x:row>
    <x:row r="135" ht="24" customHeight="1">
      <x:c r="A135" s="2" t="str">
        <x:f>C57</x:f>
        <x:v>Không rõ cỡ, màu còn hàng</x:v>
      </x:c>
      <x:c r="B135" s="34" t="n">
        <x:f>F57</x:f>
        <x:v>0.44166666666666665</x:v>
      </x:c>
      <x:c r="C135" s="2"/>
      <x:c r="D135" s="2"/>
      <x:c r="E135" s="2"/>
      <x:c r="F135" s="2"/>
      <x:c r="G135" s="2"/>
      <x:c r="H135" s="2"/>
      <x:c r="I135" s="2"/>
    </x:row>
    <x:row r="136" ht="24" customHeight="1">
      <x:c r="A136" s="2" t="str">
        <x:f>C55</x:f>
        <x:v>Đổi trả khó hoặc chưa rõ</x:v>
      </x:c>
      <x:c r="B136" s="34" t="n">
        <x:f>F55</x:f>
        <x:v>0.4083333333333333</x:v>
      </x:c>
      <x:c r="C136" s="2"/>
      <x:c r="D136" s="2"/>
      <x:c r="E136" s="2"/>
      <x:c r="F136" s="2"/>
      <x:c r="G136" s="2"/>
      <x:c r="H136" s="2"/>
      <x:c r="I136" s="2"/>
    </x:row>
    <x:row r="137" ht="24" customHeight="1">
      <x:c r="A137" s="2" t="str">
        <x:f>C56</x:f>
        <x:v>Phí hoặc tổng tiền xuất hiện muộn</x:v>
      </x:c>
      <x:c r="B137" s="34" t="n">
        <x:f>F56</x:f>
        <x:v>0.38333333333333336</x:v>
      </x:c>
      <x:c r="C137" s="2"/>
      <x:c r="D137" s="2"/>
      <x:c r="E137" s="2"/>
      <x:c r="F137" s="2"/>
      <x:c r="G137" s="2"/>
      <x:c r="H137" s="2"/>
      <x:c r="I137" s="2"/>
    </x:row>
    <x:row r="138" ht="24" customHeight="1">
      <x:c r="A138" s="2" t="str">
        <x:f>C59</x:f>
        <x:v>Lo ngại thanh toán trực tuyến</x:v>
      </x:c>
      <x:c r="B138" s="34" t="n">
        <x:f>F59</x:f>
        <x:v>0.3333333333333333</x:v>
      </x:c>
      <x:c r="C138" s="2"/>
      <x:c r="D138" s="2"/>
      <x:c r="E138" s="2"/>
      <x:c r="F138" s="2"/>
      <x:c r="G138" s="2"/>
      <x:c r="H138" s="2"/>
      <x:c r="I138" s="2"/>
    </x:row>
    <x:row r="139" ht="24" customHeight="1">
      <x:c r="A139" s="2" t="str">
        <x:f>C58</x:f>
        <x:v>Thông tin theo dõi đơn chưa rõ</x:v>
      </x:c>
      <x:c r="B139" s="34" t="n">
        <x:f>F58</x:f>
        <x:v>0.25</x:v>
      </x:c>
      <x:c r="C139" s="2"/>
      <x:c r="D139" s="2"/>
      <x:c r="E139" s="2"/>
      <x:c r="F139" s="2"/>
      <x:c r="G139" s="2"/>
      <x:c r="H139" s="2"/>
      <x:c r="I139" s="2"/>
    </x:row>
    <x:row r="140" ht="24" customHeight="1">
      <x:c r="A140" s="2"/>
      <x:c r="B140" s="2"/>
      <x:c r="C140" s="2"/>
      <x:c r="D140" s="2"/>
      <x:c r="E140" s="2"/>
      <x:c r="F140" s="2"/>
      <x:c r="G140" s="2"/>
      <x:c r="H140" s="2"/>
      <x:c r="I140" s="2"/>
    </x:row>
    <x:row r="141" ht="24" customHeight="1">
      <x:c r="A141" s="2"/>
      <x:c r="B141" s="2"/>
      <x:c r="C141" s="2"/>
      <x:c r="D141" s="2"/>
      <x:c r="E141" s="2"/>
      <x:c r="F141" s="2"/>
      <x:c r="G141" s="2"/>
      <x:c r="H141" s="2"/>
      <x:c r="I141" s="2"/>
    </x:row>
    <x:row r="142" ht="24" customHeight="1">
      <x:c r="A142" s="2"/>
      <x:c r="B142" s="2"/>
      <x:c r="C142" s="2"/>
      <x:c r="D142" s="2"/>
      <x:c r="E142" s="2"/>
      <x:c r="F142" s="2"/>
      <x:c r="G142" s="2"/>
      <x:c r="H142" s="2"/>
      <x:c r="I142" s="2"/>
    </x:row>
    <x:row r="143" ht="24" customHeight="1">
      <x:c r="A143" s="2"/>
      <x:c r="B143" s="2"/>
      <x:c r="C143" s="2"/>
      <x:c r="D143" s="2"/>
      <x:c r="E143" s="2"/>
      <x:c r="F143" s="2"/>
      <x:c r="G143" s="2"/>
      <x:c r="H143" s="2"/>
      <x:c r="I143" s="2"/>
    </x:row>
    <x:row r="144" ht="24" customHeight="1">
      <x:c r="A144" s="2"/>
      <x:c r="B144" s="2"/>
      <x:c r="C144" s="2"/>
      <x:c r="D144" s="2"/>
      <x:c r="E144" s="2"/>
      <x:c r="F144" s="2"/>
      <x:c r="G144" s="2"/>
      <x:c r="H144" s="2"/>
      <x:c r="I144" s="2"/>
    </x:row>
    <x:row r="145" ht="24" customHeight="1">
      <x:c r="A145" s="2"/>
      <x:c r="B145" s="2"/>
      <x:c r="C145" s="2"/>
      <x:c r="D145" s="2"/>
      <x:c r="E145" s="2"/>
      <x:c r="F145" s="2"/>
      <x:c r="G145" s="2"/>
      <x:c r="H145" s="2"/>
      <x:c r="I145" s="2"/>
    </x:row>
    <x:row r="146" ht="24" customHeight="1">
      <x:c r="A146" s="2"/>
      <x:c r="B146" s="2"/>
      <x:c r="C146" s="2"/>
      <x:c r="D146" s="2"/>
      <x:c r="E146" s="2"/>
      <x:c r="F146" s="2"/>
      <x:c r="G146" s="2"/>
      <x:c r="H146" s="2"/>
      <x:c r="I146" s="2"/>
    </x:row>
    <x:row r="147" ht="24" customHeight="1">
      <x:c r="A147" s="2"/>
      <x:c r="B147" s="2"/>
      <x:c r="C147" s="2"/>
      <x:c r="D147" s="2"/>
      <x:c r="E147" s="2"/>
      <x:c r="F147" s="2"/>
      <x:c r="G147" s="2"/>
      <x:c r="H147" s="2"/>
      <x:c r="I147" s="2"/>
    </x:row>
    <x:row r="148" ht="24" customHeight="1">
      <x:c r="A148" s="2"/>
      <x:c r="B148" s="2"/>
      <x:c r="C148" s="2"/>
      <x:c r="D148" s="2"/>
      <x:c r="E148" s="2"/>
      <x:c r="F148" s="2"/>
      <x:c r="G148" s="2"/>
      <x:c r="H148" s="2"/>
      <x:c r="I148" s="2"/>
    </x:row>
    <x:row r="149" ht="24" customHeight="1">
      <x:c r="A149" s="2"/>
      <x:c r="B149" s="2"/>
      <x:c r="C149" s="2"/>
      <x:c r="D149" s="2"/>
      <x:c r="E149" s="2"/>
      <x:c r="F149" s="2"/>
      <x:c r="G149" s="2"/>
      <x:c r="H149" s="2"/>
      <x:c r="I149" s="2"/>
    </x:row>
    <x:row r="150" ht="24" customHeight="1">
      <x:c r="A150" s="2"/>
      <x:c r="B150" s="2"/>
      <x:c r="C150" s="2"/>
      <x:c r="D150" s="2"/>
      <x:c r="E150" s="2"/>
      <x:c r="F150" s="2"/>
      <x:c r="G150" s="2"/>
      <x:c r="H150" s="2"/>
      <x:c r="I150" s="2"/>
    </x:row>
    <x:row r="151" ht="24" customHeight="1">
      <x:c r="A151" s="2"/>
      <x:c r="B151" s="2"/>
      <x:c r="C151" s="2"/>
      <x:c r="D151" s="2"/>
      <x:c r="E151" s="2"/>
      <x:c r="F151" s="2"/>
      <x:c r="G151" s="2"/>
      <x:c r="H151" s="2"/>
      <x:c r="I151" s="2"/>
    </x:row>
    <x:row r="152" ht="24" customHeight="1">
      <x:c r="A152" s="2"/>
      <x:c r="B152" s="2"/>
      <x:c r="C152" s="2"/>
      <x:c r="D152" s="2"/>
      <x:c r="E152" s="2"/>
      <x:c r="F152" s="2"/>
      <x:c r="G152" s="2"/>
      <x:c r="H152" s="2"/>
      <x:c r="I152" s="2"/>
    </x:row>
    <x:row r="153" ht="24" customHeight="1">
      <x:c r="A153" s="2"/>
      <x:c r="B153" s="2"/>
      <x:c r="C153" s="2"/>
      <x:c r="D153" s="2"/>
      <x:c r="E153" s="2"/>
      <x:c r="F153" s="2"/>
      <x:c r="G153" s="2"/>
      <x:c r="H153" s="2"/>
      <x:c r="I153" s="2"/>
    </x:row>
    <x:row r="154" ht="24" customHeight="1">
      <x:c r="A154" s="2"/>
      <x:c r="B154" s="2"/>
      <x:c r="C154" s="2"/>
      <x:c r="D154" s="2"/>
      <x:c r="E154" s="2"/>
      <x:c r="F154" s="2"/>
      <x:c r="G154" s="2"/>
      <x:c r="H154" s="2"/>
      <x:c r="I154" s="2"/>
    </x:row>
    <x:row r="155" ht="24" customHeight="1">
      <x:c r="A155" s="2"/>
      <x:c r="B155" s="2"/>
      <x:c r="C155" s="2"/>
      <x:c r="D155" s="2"/>
      <x:c r="E155" s="2"/>
      <x:c r="F155" s="2"/>
      <x:c r="G155" s="2"/>
      <x:c r="H155" s="2"/>
      <x:c r="I155" s="2"/>
    </x:row>
    <x:row r="156" ht="24" customHeight="1">
      <x:c r="A156" s="2"/>
      <x:c r="B156" s="2"/>
      <x:c r="C156" s="2"/>
      <x:c r="D156" s="2"/>
      <x:c r="E156" s="2"/>
      <x:c r="F156" s="2"/>
      <x:c r="G156" s="2"/>
      <x:c r="H156" s="2"/>
      <x:c r="I156" s="2"/>
    </x:row>
    <x:row r="157" ht="24" customHeight="1">
      <x:c r="A157" s="2"/>
      <x:c r="B157" s="2"/>
      <x:c r="C157" s="2"/>
      <x:c r="D157" s="2"/>
      <x:c r="E157" s="2"/>
      <x:c r="F157" s="2"/>
      <x:c r="G157" s="2"/>
      <x:c r="H157" s="2"/>
      <x:c r="I157" s="2"/>
    </x:row>
    <x:row r="158" ht="24" customHeight="1">
      <x:c r="A158" s="2"/>
      <x:c r="B158" s="2"/>
      <x:c r="C158" s="2"/>
      <x:c r="D158" s="2"/>
      <x:c r="E158" s="2"/>
      <x:c r="F158" s="2"/>
      <x:c r="G158" s="2"/>
      <x:c r="H158" s="2"/>
      <x:c r="I158" s="2"/>
    </x:row>
    <x:row r="159" ht="24" customHeight="1">
      <x:c r="A159" s="2"/>
      <x:c r="B159" s="2"/>
      <x:c r="C159" s="2"/>
      <x:c r="D159" s="2"/>
      <x:c r="E159" s="2"/>
      <x:c r="F159" s="2"/>
      <x:c r="G159" s="2"/>
      <x:c r="H159" s="2"/>
      <x:c r="I159" s="2"/>
    </x:row>
    <x:row r="160" ht="24" customHeight="1">
      <x:c r="A160" s="2"/>
      <x:c r="B160" s="2"/>
      <x:c r="C160" s="2"/>
      <x:c r="D160" s="2"/>
      <x:c r="E160" s="2"/>
      <x:c r="F160" s="2"/>
      <x:c r="G160" s="2"/>
      <x:c r="H160" s="2"/>
      <x:c r="I160" s="2"/>
    </x:row>
    <x:row r="161" ht="24" customHeight="1">
      <x:c r="A161" s="2"/>
      <x:c r="B161" s="2"/>
      <x:c r="C161" s="2"/>
      <x:c r="D161" s="2"/>
      <x:c r="E161" s="2"/>
      <x:c r="F161" s="2"/>
      <x:c r="G161" s="2"/>
      <x:c r="H161" s="2"/>
      <x:c r="I161" s="2"/>
    </x:row>
    <x:row r="162" ht="24" customHeight="1">
      <x:c r="A162" s="2"/>
      <x:c r="B162" s="2"/>
      <x:c r="C162" s="2"/>
      <x:c r="D162" s="2"/>
      <x:c r="E162" s="2"/>
      <x:c r="F162" s="2"/>
      <x:c r="G162" s="2"/>
      <x:c r="H162" s="2"/>
      <x:c r="I162" s="2"/>
    </x:row>
    <x:row r="163" ht="24" customHeight="1">
      <x:c r="A163" s="2"/>
      <x:c r="B163" s="2"/>
      <x:c r="C163" s="2"/>
      <x:c r="D163" s="2"/>
      <x:c r="E163" s="2"/>
      <x:c r="F163" s="2"/>
      <x:c r="G163" s="2"/>
      <x:c r="H163" s="2"/>
      <x:c r="I163" s="2"/>
    </x:row>
    <x:row r="164" ht="24" customHeight="1">
      <x:c r="A164" s="2"/>
      <x:c r="B164" s="2"/>
      <x:c r="C164" s="2"/>
      <x:c r="D164" s="2"/>
      <x:c r="E164" s="2"/>
      <x:c r="F164" s="2"/>
      <x:c r="G164" s="2"/>
      <x:c r="H164" s="2"/>
      <x:c r="I164" s="2"/>
    </x:row>
    <x:row r="165" ht="24" customHeight="1">
      <x:c r="A165" s="2"/>
      <x:c r="B165" s="2"/>
      <x:c r="C165" s="2"/>
      <x:c r="D165" s="2"/>
      <x:c r="E165" s="2"/>
      <x:c r="F165" s="2"/>
      <x:c r="G165" s="2"/>
      <x:c r="H165" s="2"/>
      <x:c r="I165" s="2"/>
    </x:row>
    <x:row r="166" ht="24" customHeight="1">
      <x:c r="A166" s="2"/>
      <x:c r="B166" s="2"/>
      <x:c r="C166" s="2"/>
      <x:c r="D166" s="2"/>
      <x:c r="E166" s="2"/>
      <x:c r="F166" s="2"/>
      <x:c r="G166" s="2"/>
      <x:c r="H166" s="2"/>
      <x:c r="I166" s="2"/>
    </x:row>
    <x:row r="167" ht="24" customHeight="1">
      <x:c r="A167" s="2"/>
      <x:c r="B167" s="2"/>
      <x:c r="C167" s="2"/>
      <x:c r="D167" s="2"/>
      <x:c r="E167" s="2"/>
      <x:c r="F167" s="2"/>
      <x:c r="G167" s="2"/>
      <x:c r="H167" s="2"/>
      <x:c r="I167" s="2"/>
    </x:row>
    <x:row r="168" ht="24" customHeight="1">
      <x:c r="A168" s="2"/>
      <x:c r="B168" s="2"/>
      <x:c r="C168" s="2"/>
      <x:c r="D168" s="2"/>
      <x:c r="E168" s="2"/>
      <x:c r="F168" s="2"/>
      <x:c r="G168" s="2"/>
      <x:c r="H168" s="2"/>
      <x:c r="I168" s="2"/>
    </x:row>
    <x:row r="169" ht="24" customHeight="1">
      <x:c r="A169" s="2"/>
      <x:c r="B169" s="2"/>
      <x:c r="C169" s="2"/>
      <x:c r="D169" s="2"/>
      <x:c r="E169" s="2"/>
      <x:c r="F169" s="2"/>
      <x:c r="G169" s="2"/>
      <x:c r="H169" s="2"/>
      <x:c r="I169" s="2"/>
    </x:row>
    <x:row r="170" ht="24" customHeight="1">
      <x:c r="A170" s="2"/>
      <x:c r="B170" s="2"/>
      <x:c r="C170" s="2"/>
      <x:c r="D170" s="2"/>
      <x:c r="E170" s="2"/>
      <x:c r="F170" s="2"/>
      <x:c r="G170" s="2"/>
      <x:c r="H170" s="2"/>
      <x:c r="I170" s="2"/>
    </x:row>
    <x:row r="171" ht="24" customHeight="1">
      <x:c r="A171" s="2"/>
      <x:c r="B171" s="2"/>
      <x:c r="C171" s="2"/>
      <x:c r="D171" s="2"/>
      <x:c r="E171" s="2"/>
      <x:c r="F171" s="2"/>
      <x:c r="G171" s="2"/>
      <x:c r="H171" s="2"/>
      <x:c r="I171" s="2"/>
    </x:row>
    <x:row r="172" ht="24" customHeight="1">
      <x:c r="A172" s="2"/>
      <x:c r="B172" s="2"/>
      <x:c r="C172" s="2"/>
      <x:c r="D172" s="2"/>
      <x:c r="E172" s="2"/>
      <x:c r="F172" s="2"/>
      <x:c r="G172" s="2"/>
      <x:c r="H172" s="2"/>
      <x:c r="I172" s="2"/>
    </x:row>
    <x:row r="173" ht="24" customHeight="1">
      <x:c r="A173" s="2"/>
      <x:c r="B173" s="2"/>
      <x:c r="C173" s="2"/>
      <x:c r="D173" s="2"/>
      <x:c r="E173" s="2"/>
      <x:c r="F173" s="2"/>
      <x:c r="G173" s="2"/>
      <x:c r="H173" s="2"/>
      <x:c r="I173" s="2"/>
    </x:row>
    <x:row r="174" ht="24" customHeight="1">
      <x:c r="A174" s="2"/>
      <x:c r="B174" s="2"/>
      <x:c r="C174" s="2"/>
      <x:c r="D174" s="2"/>
      <x:c r="E174" s="2"/>
      <x:c r="F174" s="2"/>
      <x:c r="G174" s="2"/>
      <x:c r="H174" s="2"/>
      <x:c r="I174" s="2"/>
    </x:row>
    <x:row r="175" ht="24" customHeight="1">
      <x:c r="A175" s="2"/>
      <x:c r="B175" s="2"/>
      <x:c r="C175" s="2"/>
      <x:c r="D175" s="2"/>
      <x:c r="E175" s="2"/>
      <x:c r="F175" s="2"/>
      <x:c r="G175" s="2"/>
      <x:c r="H175" s="2"/>
      <x:c r="I175" s="2"/>
    </x:row>
  </x:sheetData>
  <x:mergeCells>
    <x:mergeCell ref="A1:I1"/>
    <x:mergeCell ref="A2:I3"/>
    <x:mergeCell ref="F5:I5"/>
    <x:mergeCell ref="F6:I6"/>
    <x:mergeCell ref="F7:I7"/>
    <x:mergeCell ref="F8:I8"/>
    <x:mergeCell ref="F9:I9"/>
    <x:mergeCell ref="F10:I10"/>
    <x:mergeCell ref="F11:I11"/>
    <x:mergeCell ref="F12:I12"/>
    <x:mergeCell ref="F15:I15"/>
    <x:mergeCell ref="F16:I16"/>
    <x:mergeCell ref="F17:I17"/>
    <x:mergeCell ref="F18:I18"/>
    <x:mergeCell ref="F19:I19"/>
    <x:mergeCell ref="F20:I20"/>
  </x:mergeCells>
  <x:conditionalFormatting sqref="D6:D12">
    <x:cfRule type="containsText" dxfId="0" priority="1" operator="containsText" text="LỖI"/>
    <x:cfRule type="containsText" dxfId="1" priority="2" operator="containsText" text="KHỚP"/>
  </x:conditionalFormatting>
  <x:conditionalFormatting sqref="D16:D20">
    <x:cfRule type="containsText" dxfId="2" priority="3" operator="containsText" text="LỖI"/>
    <x:cfRule type="containsText" dxfId="3" priority="4" operator="containsText" text="KHỚP"/>
  </x:conditionalFormatting>
  <x:conditionalFormatting sqref="I25:I109">
    <x:cfRule type="containsText" dxfId="4" priority="5" operator="containsText" text="LỖI"/>
    <x:cfRule type="containsText" dxfId="5" priority="6" operator="containsText" text="KHỚP"/>
  </x:conditionalFormatting>
  <x:conditionalFormatting sqref="I114:I128">
    <x:cfRule type="containsText" dxfId="6" priority="7" operator="containsText" text="LỖI"/>
    <x:cfRule type="containsText" dxfId="7" priority="8" operator="containsText" text="KHỚP"/>
  </x:conditionalFormatting>
  <x:pageMargins left="0.7" right="0.7" top="0.75" bottom="0.75" header="0.3" footer="0.3"/>
  <x:drawing xmlns:r="http://schemas.openxmlformats.org/officeDocument/2006/relationships" r:id="R906dccc1e6294fa8"/>
  <x:legacyDrawing xmlns:r="http://schemas.openxmlformats.org/officeDocument/2006/relationships" r:id="Ra311a45fa24c47cb"/>
  <x:tableParts count="4">
    <x:tablePart xmlns:r="http://schemas.openxmlformats.org/officeDocument/2006/relationships" r:id="Re15c92383f9a4dd6"/>
    <x:tablePart xmlns:r="http://schemas.openxmlformats.org/officeDocument/2006/relationships" r:id="R46551ef1e6054e17"/>
    <x:tablePart xmlns:r="http://schemas.openxmlformats.org/officeDocument/2006/relationships" r:id="R4fbc6786cfa84e59"/>
    <x:tablePart xmlns:r="http://schemas.openxmlformats.org/officeDocument/2006/relationships" r:id="R2086f9df964143c1"/>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9" hidden="0" customWidth="1"/>
    <x:col min="2" max="2" width="34" hidden="0" customWidth="1"/>
    <x:col min="3" max="3" width="62" hidden="0" customWidth="1"/>
    <x:col min="4" max="4" width="61" hidden="0" customWidth="1"/>
    <x:col min="5" max="5" width="65" hidden="0" customWidth="1"/>
    <x:col min="6" max="6" width="64" hidden="0" customWidth="1"/>
  </x:cols>
  <x:sheetData>
    <x:row r="1" ht="38" customHeight="1">
      <x:c r="A1" s="4" t="str">
        <x:v>BẢNG GIẢI THÍCH MÃ · dữ liệu giả lập</x:v>
      </x:c>
      <x:c r="B1" s="4"/>
      <x:c r="C1" s="4"/>
      <x:c r="D1" s="4"/>
      <x:c r="E1" s="4"/>
      <x:c r="F1" s="4"/>
    </x:row>
    <x:row r="2" ht="24" customHeight="1">
      <x:c r="A2" s="6" t="str">
        <x:v>SYN = dữ liệu giả lập. Bảng này giải thích tên cột, mã câu trả lời và cách chọn phiếu để tính kết quả. Tên trang Codebook được giữ để các công thức hoạt động như cũ.</x:v>
      </x:c>
      <x:c r="B2" s="6"/>
      <x:c r="C2" s="6"/>
      <x:c r="D2" s="6"/>
      <x:c r="E2" s="6"/>
      <x:c r="F2" s="6"/>
    </x:row>
    <x:row r="3" ht="24" customHeight="1">
      <x:c r="A3" s="6"/>
      <x:c r="B3" s="6"/>
      <x:c r="C3" s="6"/>
      <x:c r="D3" s="6"/>
      <x:c r="E3" s="6"/>
      <x:c r="F3" s="6"/>
    </x:row>
    <x:row r="4" ht="12" customHeight="1">
      <x:c r="A4" s="2"/>
      <x:c r="B4" s="2"/>
      <x:c r="C4" s="2"/>
      <x:c r="D4" s="2"/>
      <x:c r="E4" s="2"/>
      <x:c r="F4" s="2"/>
    </x:row>
    <x:row r="5" ht="42" customHeight="1">
      <x:c r="A5" s="9" t="str">
        <x:v>Quy tắc</x:v>
      </x:c>
      <x:c r="B5" s="9" t="str">
        <x:v>Giá trị</x:v>
      </x:c>
      <x:c r="C5" s="9" t="str">
        <x:v>Ý nghĩa</x:v>
      </x:c>
      <x:c r="D5" s="9" t="str">
        <x:v>Áp dụng</x:v>
      </x:c>
      <x:c r="E5" s="9" t="str">
        <x:v>Nguồn</x:v>
      </x:c>
      <x:c r="F5" s="9" t="str">
        <x:v>Nhãn</x:v>
      </x:c>
    </x:row>
    <x:row r="6" ht="28" customHeight="1">
      <x:c r="A6" s="11" t="str">
        <x:v>Trạng thái hợp lệ</x:v>
      </x:c>
      <x:c r="B6" s="11" t="str">
        <x:v>valid</x:v>
      </x:c>
      <x:c r="C6" s="11" t="str">
        <x:v>Chỉ lấy phiếu có kết quả phân loại là valid (hợp lệ)</x:v>
      </x:c>
      <x:c r="D6" s="11" t="str">
        <x:v>Đếm và cộng có điều kiện</x:v>
      </x:c>
      <x:c r="E6" s="11" t="str">
        <x:v>survey.json / codebook</x:v>
      </x:c>
      <x:c r="F6" s="11" t="str">
        <x:v>SYN</x:v>
      </x:c>
    </x:row>
    <x:row r="7" ht="28" customHeight="1">
      <x:c r="A7" s="12" t="str">
        <x:v>Câu trả lời Có</x:v>
      </x:c>
      <x:c r="B7" s="12" t="str">
        <x:v>yes</x:v>
      </x:c>
      <x:c r="C7" s="12" t="str">
        <x:v>Mã trả lời Có ở Q01, Q03 và Q10</x:v>
      </x:c>
      <x:c r="D7" s="12" t="str">
        <x:v>Quyết định câu hỏi tiếp theo</x:v>
      </x:c>
      <x:c r="E7" s="12" t="str">
        <x:v>survey.json / codebook</x:v>
      </x:c>
      <x:c r="F7" s="12" t="str">
        <x:v>SYN</x:v>
      </x:c>
    </x:row>
    <x:row r="8" ht="28" customHeight="1">
      <x:c r="A8" s="11" t="str">
        <x:v>Câu trả lời Không</x:v>
      </x:c>
      <x:c r="B8" s="11" t="str">
        <x:v>no</x:v>
      </x:c>
      <x:c r="C8" s="11" t="str">
        <x:v>Mã trả lời Không</x:v>
      </x:c>
      <x:c r="D8" s="11" t="str">
        <x:v>Quyết định câu hỏi tiếp theo</x:v>
      </x:c>
      <x:c r="E8" s="11" t="str">
        <x:v>survey.json / codebook</x:v>
      </x:c>
      <x:c r="F8" s="11" t="str">
        <x:v>SYN</x:v>
      </x:c>
    </x:row>
    <x:row r="9" ht="28" customHeight="1">
      <x:c r="A9" s="12" t="str">
        <x:v>Đã chọn / đúng</x:v>
      </x:c>
      <x:c r="B9" s="12" t="n">
        <x:v>1</x:v>
      </x:c>
      <x:c r="C9" s="12" t="str">
        <x:v>1 = đã chọn đáp án; ở cột đủ điều kiện và hoàn tất, 1 = đúng</x:v>
      </x:c>
      <x:c r="D9" s="12" t="str">
        <x:v>Câu có thể chọn nhiều đáp án</x:v>
      </x:c>
      <x:c r="E9" s="12" t="str">
        <x:v>survey.json / codebook</x:v>
      </x:c>
      <x:c r="F9" s="12" t="str">
        <x:v>SYN</x:v>
      </x:c>
    </x:row>
    <x:row r="10" ht="28" customHeight="1">
      <x:c r="A10" s="11" t="str">
        <x:v>Không chọn / sai</x:v>
      </x:c>
      <x:c r="B10" s="11" t="n">
        <x:v>0</x:v>
      </x:c>
      <x:c r="C10" s="11" t="str">
        <x:v>0 = không chọn; nếu không được hỏi hoặc chưa trả lời thì để trống</x:v>
      </x:c>
      <x:c r="D10" s="11" t="str">
        <x:v>Câu có thể chọn nhiều đáp án</x:v>
      </x:c>
      <x:c r="E10" s="11" t="str">
        <x:v>survey.json / codebook</x:v>
      </x:c>
      <x:c r="F10" s="11" t="str">
        <x:v>SYN</x:v>
      </x:c>
    </x:row>
    <x:row r="11" ht="28" customHeight="1">
      <x:c r="A11" s="12" t="str">
        <x:v>Tối đa Q12</x:v>
      </x:c>
      <x:c r="B11" s="12" t="n">
        <x:v>3</x:v>
      </x:c>
      <x:c r="C11" s="12" t="str">
        <x:v>Không quá 3 mục cho một người trả lời</x:v>
      </x:c>
      <x:c r="D11" s="12" t="str">
        <x:v>Kiểm tra số lượt chọn</x:v>
      </x:c>
      <x:c r="E11" s="12" t="str">
        <x:v>Phiếu PH-P1-v1 / Q12</x:v>
      </x:c>
      <x:c r="F11" s="12" t="str">
        <x:v>SYN</x:v>
      </x:c>
    </x:row>
    <x:row r="12" ht="28" customHeight="1">
      <x:c r="A12" s="11" t="str">
        <x:v>Nhãn dữ liệu</x:v>
      </x:c>
      <x:c r="B12" s="11" t="str">
        <x:v>SYN</x:v>
      </x:c>
      <x:c r="C12" s="11" t="str">
        <x:v>SYN là giả lập; không đổi thành FIELD (khảo sát thực tế)</x:v>
      </x:c>
      <x:c r="D12" s="11" t="str">
        <x:v>Toàn bộ tệp Excel</x:v>
      </x:c>
      <x:c r="E12" s="11" t="str">
        <x:v>metadata.evidence_type</x:v>
      </x:c>
      <x:c r="F12" s="11" t="str">
        <x:v>SYN</x:v>
      </x:c>
    </x:row>
    <x:row r="13" ht="24" customHeight="1">
      <x:c r="A13" s="2"/>
      <x:c r="B13" s="2"/>
      <x:c r="C13" s="2"/>
      <x:c r="D13" s="2"/>
      <x:c r="E13" s="2"/>
      <x:c r="F13" s="2"/>
    </x:row>
    <x:row r="14" ht="24" customHeight="1">
      <x:c r="A14" s="2"/>
      <x:c r="B14" s="2"/>
      <x:c r="C14" s="2"/>
      <x:c r="D14" s="2"/>
      <x:c r="E14" s="2"/>
      <x:c r="F14" s="2"/>
    </x:row>
    <x:row r="15" ht="24" customHeight="1">
      <x:c r="A15" s="2"/>
      <x:c r="B15" s="2"/>
      <x:c r="C15" s="2"/>
      <x:c r="D15" s="2"/>
      <x:c r="E15" s="2"/>
      <x:c r="F15" s="2"/>
    </x:row>
    <x:row r="16" ht="42" customHeight="1">
      <x:c r="A16" s="9" t="str">
        <x:v>Cột trong DuLieuGoc</x:v>
      </x:c>
      <x:c r="B16" s="9" t="str">
        <x:v>Tên cột gốc</x:v>
      </x:c>
      <x:c r="C16" s="9" t="str">
        <x:v>Loại dữ liệu</x:v>
      </x:c>
      <x:c r="D16" s="9" t="str">
        <x:v>Nội dung câu hỏi / cột</x:v>
      </x:c>
      <x:c r="E16" s="9" t="str">
        <x:v>Mã và ý nghĩa</x:v>
      </x:c>
      <x:c r="F16" s="9" t="str">
        <x:v>Cách điền / chọn phiếu</x:v>
      </x:c>
    </x:row>
    <x:row r="17" ht="70" customHeight="1">
      <x:c r="A17" s="11" t="str">
        <x:v>A</x:v>
      </x:c>
      <x:c r="B17" s="11" t="str">
        <x:v>id</x:v>
      </x:c>
      <x:c r="C17" s="11" t="str">
        <x:v>Thông tin phiếu</x:v>
      </x:c>
      <x:c r="D17" s="11" t="str">
        <x:v>Mã phiếu giả lập SYN-PH-nnn; không liên quan đến danh tính người thật.</x:v>
      </x:c>
      <x:c r="E17" s="11" t="str"/>
      <x:c r="F17" s="11" t="str"/>
    </x:row>
    <x:row r="18" ht="70" customHeight="1">
      <x:c r="A18" s="12" t="str">
        <x:v>B</x:v>
      </x:c>
      <x:c r="B18" s="12" t="str">
        <x:v>evidence_type</x:v>
      </x:c>
      <x:c r="C18" s="12" t="str">
        <x:v>Thông tin phiếu</x:v>
      </x:c>
      <x:c r="D18" s="12" t="str">
        <x:v>Luôn là SYN: tất cả câu trả lời được tạo giả lập.</x:v>
      </x:c>
      <x:c r="E18" s="12" t="str"/>
      <x:c r="F18" s="12" t="str"/>
    </x:row>
    <x:row r="19" ht="70" customHeight="1">
      <x:c r="A19" s="11" t="str">
        <x:v>C</x:v>
      </x:c>
      <x:c r="B19" s="11" t="str">
        <x:v>day</x:v>
      </x:c>
      <x:c r="C19" s="11" t="str">
        <x:v>Thông tin phiếu</x:v>
      </x:c>
      <x:c r="D19" s="11" t="str">
        <x:v>N4–N7 là ngày trong kế hoạch giả định, không phải ngày đã đi khảo sát.</x:v>
      </x:c>
      <x:c r="E19" s="11" t="str"/>
      <x:c r="F19" s="11" t="str"/>
    </x:row>
    <x:row r="20" ht="70" customHeight="1">
      <x:c r="A20" s="12" t="str">
        <x:v>D</x:v>
      </x:c>
      <x:c r="B20" s="12" t="str">
        <x:v>completion_minutes</x:v>
      </x:c>
      <x:c r="C20" s="12" t="str">
        <x:v>Thông tin phiếu</x:v>
      </x:c>
      <x:c r="D20" s="12" t="str">
        <x:v>Số phút giả định từ khi bắt đầu đến khi dừng trả lời, kể cả phiếu chưa xong.</x:v>
      </x:c>
      <x:c r="E20" s="12" t="str"/>
      <x:c r="F20" s="12" t="str"/>
    </x:row>
    <x:row r="21" ht="70" customHeight="1">
      <x:c r="A21" s="11" t="str">
        <x:v>E</x:v>
      </x:c>
      <x:c r="B21" s="11" t="str">
        <x:v>eligible</x:v>
      </x:c>
      <x:c r="C21" s="11" t="str">
        <x:v>Thông tin phiếu</x:v>
      </x:c>
      <x:c r="D21" s="11" t="str">
        <x:v>1 = đủ điều kiện: đồng ý tham gia, từ 18–44 tuổi, đã mua quần áo trực tuyến trong 6 tháng.</x:v>
      </x:c>
      <x:c r="E21" s="11" t="str">
        <x:v>0: không
1: có</x:v>
      </x:c>
      <x:c r="F21" s="11" t="str"/>
    </x:row>
    <x:row r="22" ht="70" customHeight="1">
      <x:c r="A22" s="12" t="str">
        <x:v>F</x:v>
      </x:c>
      <x:c r="B22" s="12" t="str">
        <x:v>completed</x:v>
      </x:c>
      <x:c r="C22" s="12" t="str">
        <x:v>Thông tin phiếu</x:v>
      </x:c>
      <x:c r="D22" s="12" t="str">
        <x:v>1 = đã trả lời xong phần áp dụng; phiếu trùng vẫn có thể được tính là đã trả lời xong.</x:v>
      </x:c>
      <x:c r="E22" s="12" t="str">
        <x:v>0: không
1: có</x:v>
      </x:c>
      <x:c r="F22" s="12" t="str"/>
    </x:row>
    <x:row r="23" ht="70" customHeight="1">
      <x:c r="A23" s="11" t="str">
        <x:v>G</x:v>
      </x:c>
      <x:c r="B23" s="11" t="str">
        <x:v>status</x:v>
      </x:c>
      <x:c r="C23" s="11" t="str">
        <x:v>Thông tin phiếu</x:v>
      </x:c>
      <x:c r="D23" s="11" t="str">
        <x:v>valid: hợp lệ trong bộ giả lập; excluded: bị loại và có lý do kèm theo.</x:v>
      </x:c>
      <x:c r="E23" s="11" t="str">
        <x:v>valid: hợp lệ
excluded: bị loại</x:v>
      </x:c>
      <x:c r="F23" s="11" t="str"/>
    </x:row>
    <x:row r="24" ht="109" customHeight="1">
      <x:c r="A24" s="12" t="str">
        <x:v>H</x:v>
      </x:c>
      <x:c r="B24" s="12" t="str">
        <x:v>exclusion_reason</x:v>
      </x:c>
      <x:c r="C24" s="12" t="str">
        <x:v>Thông tin phiếu</x:v>
      </x:c>
      <x:c r="D24" s="12" t="str">
        <x:v>Lý do một phiếu không được đưa vào kết quả chính. Giữ mã để kiểm tra bằng công thức.</x:v>
      </x:c>
      <x:c r="E24" s="12" t="str">
        <x:v>no_consent: Không đồng ý tham gia; dừng sau Q01.
out_of_age: Ngoài 18–44 tuổi hoặc không trả lời tuổi; dừng sau Q02.
no_recent_purchase: Không mua quần áo trực tuyến trong 6 tháng; dừng sau Q03.
duplicate: Phiếu gửi trùng được chương trình tạo có chủ đích và ghi mã phiếu gốc.
incomplete: Đủ điều kiện nhưng chưa trả lời xong các câu hỏi chính.</x:v>
      </x:c>
      <x:c r="F24" s="12" t="str"/>
    </x:row>
    <x:row r="25" ht="70" customHeight="1">
      <x:c r="A25" s="11" t="str">
        <x:v>I</x:v>
      </x:c>
      <x:c r="B25" s="11" t="str">
        <x:v>duplicate_of</x:v>
      </x:c>
      <x:c r="C25" s="11" t="str">
        <x:v>Thông tin phiếu</x:v>
      </x:c>
      <x:c r="D25" s="11" t="str">
        <x:v>Mã phiếu gốc của 4 phiếu gửi trùng. Không kết luận là trùng chỉ vì các đáp án giống nhau.</x:v>
      </x:c>
      <x:c r="E25" s="11" t="str"/>
      <x:c r="F25" s="11" t="str"/>
    </x:row>
    <x:row r="26" ht="70" customHeight="1">
      <x:c r="A26" s="12" t="str">
        <x:v>J</x:v>
      </x:c>
      <x:c r="B26" s="12" t="str">
        <x:v>Q01</x:v>
      </x:c>
      <x:c r="C26" s="12" t="str">
        <x:v>Chọn một đáp án</x:v>
      </x:c>
      <x:c r="D26" s="12" t="str">
        <x:v>Bạn đồng ý tham gia tự nguyện?</x:v>
      </x:c>
      <x:c r="E26" s="12" t="str">
        <x:v>yes: Có
no: Không</x:v>
      </x:c>
      <x:c r="F26" s="12" t="str">
        <x:v>Nếu chọn Không (no), kết thúc phiếu; Q02–Q17 để trống.</x:v>
      </x:c>
    </x:row>
    <x:row r="27" ht="126" customHeight="1">
      <x:c r="A27" s="11" t="str">
        <x:v>K</x:v>
      </x:c>
      <x:c r="B27" s="11" t="str">
        <x:v>Q02</x:v>
      </x:c>
      <x:c r="C27" s="11" t="str">
        <x:v>Chọn một đáp án</x:v>
      </x:c>
      <x:c r="D27" s="11" t="str">
        <x:v>Nhóm tuổi của bạn?</x:v>
      </x:c>
      <x:c r="E27" s="11" t="str">
        <x:v>under_18: Dưới 18
age_18_24: 18–24
age_25_34: 25–34
age_35_44: 35–44
over_44: Trên 44
prefer_not_to_say: Không muốn trả lời</x:v>
      </x:c>
      <x:c r="F27" s="11" t="str">
        <x:v>Chỉ hỏi khi Q01 chọn Có (yes). Chỉ nhóm tuổi 18–24, 25–34 và 35–44 được tiếp tục.</x:v>
      </x:c>
    </x:row>
    <x:row r="28" ht="70" customHeight="1">
      <x:c r="A28" s="12" t="str">
        <x:v>L</x:v>
      </x:c>
      <x:c r="B28" s="12" t="str">
        <x:v>Q03</x:v>
      </x:c>
      <x:c r="C28" s="12" t="str">
        <x:v>Chọn một đáp án</x:v>
      </x:c>
      <x:c r="D28" s="12" t="str">
        <x:v>Trong 06 tháng gần đây bạn có mua quần áo trực tuyến không?</x:v>
      </x:c>
      <x:c r="E28" s="12" t="str">
        <x:v>yes: Có
no: Không</x:v>
      </x:c>
      <x:c r="F28" s="12" t="str">
        <x:v>Chỉ hỏi sau khi đạt điều kiện Q01 và Q02. Nếu chọn Không (no), kết thúc phiếu.</x:v>
      </x:c>
    </x:row>
    <x:row r="29" ht="126" customHeight="1">
      <x:c r="A29" s="11" t="str">
        <x:v>M</x:v>
      </x:c>
      <x:c r="B29" s="11" t="str">
        <x:v>Q04</x:v>
      </x:c>
      <x:c r="C29" s="11" t="str">
        <x:v>Chọn một đáp án</x:v>
      </x:c>
      <x:c r="D29" s="11" t="str">
        <x:v>Khu vực sinh sống hiện tại?</x:v>
      </x:c>
      <x:c r="E29" s="11" t="str">
        <x:v>hcm: TP.HCM
hanoi: Hà Nội
danang: Đà Nẵng
other_urban: Đô thị khác
nonurban: Ngoài đô thị
prefer_not_to_say: Không muốn trả lời</x:v>
      </x:c>
      <x:c r="F29" s="11" t="str">
        <x:v>Chỉ hỏi người đủ điều kiện; không lấy địa chỉ cụ thể.</x:v>
      </x:c>
    </x:row>
    <x:row r="30" ht="109" customHeight="1">
      <x:c r="A30" s="12" t="str">
        <x:v>N</x:v>
      </x:c>
      <x:c r="B30" s="12" t="str">
        <x:v>Q05</x:v>
      </x:c>
      <x:c r="C30" s="12" t="str">
        <x:v>Chọn một đáp án</x:v>
      </x:c>
      <x:c r="D30" s="12" t="str">
        <x:v>Tần suất mua quần áo trực tuyến?</x:v>
      </x:c>
      <x:c r="E30" s="12" t="str">
        <x:v>weekly: Hằng tuần
monthly_2_3: 2–3 lần mỗi tháng
monthly: Khoảng 1 lần mỗi tháng
every_2_3_months: 1 lần mỗi 2–3 tháng
less_often: Ít hơn</x:v>
      </x:c>
      <x:c r="F30" s="12" t="str">
        <x:v>Chọn một đáp án.</x:v>
      </x:c>
    </x:row>
    <x:row r="31" ht="70" customHeight="1">
      <x:c r="A31" s="11" t="str">
        <x:v>O</x:v>
      </x:c>
      <x:c r="B31" s="11" t="str">
        <x:v>Q06__marketplace</x:v>
      </x:c>
      <x:c r="C31" s="11" t="str">
        <x:v>Chọn / không chọn</x:v>
      </x:c>
      <x:c r="D31" s="11" t="str">
        <x:v>Các kênh đã mua trong 06 tháng?</x:v>
      </x:c>
      <x:c r="E31" s="11" t="str">
        <x:v>0 = không chọn; 1 = có chọn
marketplace: Sàn thương mại điện tử</x:v>
      </x:c>
      <x:c r="F31" s="11" t="str">
        <x:v>Chọn ít nhất một đáp án, không chọn trùng. Nếu chọn Khác (other), ghi thêm Q06_other.</x:v>
      </x:c>
    </x:row>
    <x:row r="32" ht="70" customHeight="1">
      <x:c r="A32" s="12" t="str">
        <x:v>P</x:v>
      </x:c>
      <x:c r="B32" s="12" t="str">
        <x:v>Q06__social_chat</x:v>
      </x:c>
      <x:c r="C32" s="12" t="str">
        <x:v>Chọn / không chọn</x:v>
      </x:c>
      <x:c r="D32" s="12" t="str">
        <x:v>Các kênh đã mua trong 06 tháng?</x:v>
      </x:c>
      <x:c r="E32" s="12" t="str">
        <x:v>0 = không chọn; 1 = có chọn
social_chat: Mạng xã hội, tin nhắn</x:v>
      </x:c>
      <x:c r="F32" s="12" t="str">
        <x:v>Chọn ít nhất một đáp án, không chọn trùng. Nếu chọn Khác (other), ghi thêm Q06_other.</x:v>
      </x:c>
    </x:row>
    <x:row r="33" ht="70" customHeight="1">
      <x:c r="A33" s="11" t="str">
        <x:v>Q</x:v>
      </x:c>
      <x:c r="B33" s="11" t="str">
        <x:v>Q06__livestream</x:v>
      </x:c>
      <x:c r="C33" s="11" t="str">
        <x:v>Chọn / không chọn</x:v>
      </x:c>
      <x:c r="D33" s="11" t="str">
        <x:v>Các kênh đã mua trong 06 tháng?</x:v>
      </x:c>
      <x:c r="E33" s="11" t="str">
        <x:v>0 = không chọn; 1 = có chọn
livestream: Buổi bán hàng trực tiếp</x:v>
      </x:c>
      <x:c r="F33" s="11" t="str">
        <x:v>Chọn ít nhất một đáp án, không chọn trùng. Nếu chọn Khác (other), ghi thêm Q06_other.</x:v>
      </x:c>
    </x:row>
    <x:row r="34" ht="70" customHeight="1">
      <x:c r="A34" s="12" t="str">
        <x:v>R</x:v>
      </x:c>
      <x:c r="B34" s="12" t="str">
        <x:v>Q06__brand_website</x:v>
      </x:c>
      <x:c r="C34" s="12" t="str">
        <x:v>Chọn / không chọn</x:v>
      </x:c>
      <x:c r="D34" s="12" t="str">
        <x:v>Các kênh đã mua trong 06 tháng?</x:v>
      </x:c>
      <x:c r="E34" s="12" t="str">
        <x:v>0 = không chọn; 1 = có chọn
brand_website: Website thương hiệu</x:v>
      </x:c>
      <x:c r="F34" s="12" t="str">
        <x:v>Chọn ít nhất một đáp án, không chọn trùng. Nếu chọn Khác (other), ghi thêm Q06_other.</x:v>
      </x:c>
    </x:row>
    <x:row r="35" ht="70" customHeight="1">
      <x:c r="A35" s="11" t="str">
        <x:v>S</x:v>
      </x:c>
      <x:c r="B35" s="11" t="str">
        <x:v>Q06__other</x:v>
      </x:c>
      <x:c r="C35" s="11" t="str">
        <x:v>Chọn / không chọn</x:v>
      </x:c>
      <x:c r="D35" s="11" t="str">
        <x:v>Các kênh đã mua trong 06 tháng?</x:v>
      </x:c>
      <x:c r="E35" s="11" t="str">
        <x:v>0 = không chọn; 1 = có chọn
other: Khác</x:v>
      </x:c>
      <x:c r="F35" s="11" t="str">
        <x:v>Chọn ít nhất một đáp án, không chọn trùng. Nếu chọn Khác (other), ghi thêm Q06_other.</x:v>
      </x:c>
    </x:row>
    <x:row r="36" ht="70" customHeight="1">
      <x:c r="A36" s="12" t="str">
        <x:v>T</x:v>
      </x:c>
      <x:c r="B36" s="12" t="str">
        <x:v>Q06_other</x:v>
      </x:c>
      <x:c r="C36" s="12" t="str">
        <x:v>Câu trả lời mở</x:v>
      </x:c>
      <x:c r="D36" s="12" t="str">
        <x:v>Kênh khác — mô tả</x:v>
      </x:c>
      <x:c r="E36" s="12" t="str">
        <x:v>Câu trả lời giả lập; để trống nếu không áp dụng</x:v>
      </x:c>
      <x:c r="F36" s="12" t="str">
        <x:v>Chỉ điền khi Q06 chọn Khác (other); không ghi thông tin cá nhân thật.</x:v>
      </x:c>
    </x:row>
    <x:row r="37" ht="126" customHeight="1">
      <x:c r="A37" s="11" t="str">
        <x:v>U</x:v>
      </x:c>
      <x:c r="B37" s="11" t="str">
        <x:v>Q07</x:v>
      </x:c>
      <x:c r="C37" s="11" t="str">
        <x:v>Chọn một đáp án</x:v>
      </x:c>
      <x:c r="D37" s="11" t="str">
        <x:v>Giá trị đơn quần áo gần đây thường ở khoảng nào?</x:v>
      </x:c>
      <x:c r="E37" s="11" t="str">
        <x:v>under_300k: Dưới 300.000đ
v300k_499k: Từ 300.000đ đến dưới 500.000đ
v500k_799k: Từ 500.000đ đến dưới 800.000đ
v800k_1199k: Từ 800.000đ đến dưới 1.200.000đ
at_least_1200k: Từ 1.200.000đ
cannot_recall: Không nhớ</x:v>
      </x:c>
      <x:c r="F37" s="11" t="str">
        <x:v>Chọn một đáp án. Không nhớ (cannot_recall) vẫn là một câu trả lời, không phải ô thiếu.</x:v>
      </x:c>
    </x:row>
    <x:row r="38" ht="70" customHeight="1">
      <x:c r="A38" s="12" t="str">
        <x:v>V</x:v>
      </x:c>
      <x:c r="B38" s="12" t="str">
        <x:v>Q08__size_uncertain</x:v>
      </x:c>
      <x:c r="C38" s="12" t="str">
        <x:v>Chọn / không chọn</x:v>
      </x:c>
      <x:c r="D38" s="12" t="str">
        <x:v>Các vấn đề từng gặp?</x:v>
      </x:c>
      <x:c r="E38" s="12" t="str">
        <x:v>0 = không chọn; 1 = có chọn
size_uncertain: Không chắc cỡ phù hợp</x:v>
      </x:c>
      <x:c r="F38" s="12" t="str">
        <x:v>Không gặp vấn đề nào (none) không được chọn cùng đáp án khác. Nếu chọn Khác (other), ghi Q08_other.</x:v>
      </x:c>
    </x:row>
    <x:row r="39" ht="70" customHeight="1">
      <x:c r="A39" s="11" t="str">
        <x:v>W</x:v>
      </x:c>
      <x:c r="B39" s="11" t="str">
        <x:v>Q08__photo_mismatch</x:v>
      </x:c>
      <x:c r="C39" s="11" t="str">
        <x:v>Chọn / không chọn</x:v>
      </x:c>
      <x:c r="D39" s="11" t="str">
        <x:v>Các vấn đề từng gặp?</x:v>
      </x:c>
      <x:c r="E39" s="11" t="str">
        <x:v>0 = không chọn; 1 = có chọn
photo_mismatch: Hàng khác ảnh hoặc mô tả</x:v>
      </x:c>
      <x:c r="F39" s="11" t="str">
        <x:v>Không gặp vấn đề nào (none) không được chọn cùng đáp án khác. Nếu chọn Khác (other), ghi Q08_other.</x:v>
      </x:c>
    </x:row>
    <x:row r="40" ht="70" customHeight="1">
      <x:c r="A40" s="12" t="str">
        <x:v>X</x:v>
      </x:c>
      <x:c r="B40" s="12" t="str">
        <x:v>Q08__returns_unclear</x:v>
      </x:c>
      <x:c r="C40" s="12" t="str">
        <x:v>Chọn / không chọn</x:v>
      </x:c>
      <x:c r="D40" s="12" t="str">
        <x:v>Các vấn đề từng gặp?</x:v>
      </x:c>
      <x:c r="E40" s="12" t="str">
        <x:v>0 = không chọn; 1 = có chọn
returns_unclear: Đổi trả khó hoặc chưa rõ</x:v>
      </x:c>
      <x:c r="F40" s="12" t="str">
        <x:v>Không gặp vấn đề nào (none) không được chọn cùng đáp án khác. Nếu chọn Khác (other), ghi Q08_other.</x:v>
      </x:c>
    </x:row>
    <x:row r="41" ht="70" customHeight="1">
      <x:c r="A41" s="11" t="str">
        <x:v>Y</x:v>
      </x:c>
      <x:c r="B41" s="11" t="str">
        <x:v>Q08__late_total</x:v>
      </x:c>
      <x:c r="C41" s="11" t="str">
        <x:v>Chọn / không chọn</x:v>
      </x:c>
      <x:c r="D41" s="11" t="str">
        <x:v>Các vấn đề từng gặp?</x:v>
      </x:c>
      <x:c r="E41" s="11" t="str">
        <x:v>0 = không chọn; 1 = có chọn
late_total: Phí hoặc tổng tiền xuất hiện muộn</x:v>
      </x:c>
      <x:c r="F41" s="11" t="str">
        <x:v>Không gặp vấn đề nào (none) không được chọn cùng đáp án khác. Nếu chọn Khác (other), ghi Q08_other.</x:v>
      </x:c>
    </x:row>
    <x:row r="42" ht="70" customHeight="1">
      <x:c r="A42" s="12" t="str">
        <x:v>Z</x:v>
      </x:c>
      <x:c r="B42" s="12" t="str">
        <x:v>Q08__stock_unclear</x:v>
      </x:c>
      <x:c r="C42" s="12" t="str">
        <x:v>Chọn / không chọn</x:v>
      </x:c>
      <x:c r="D42" s="12" t="str">
        <x:v>Các vấn đề từng gặp?</x:v>
      </x:c>
      <x:c r="E42" s="12" t="str">
        <x:v>0 = không chọn; 1 = có chọn
stock_unclear: Không rõ cỡ, màu còn hàng</x:v>
      </x:c>
      <x:c r="F42" s="12" t="str">
        <x:v>Không gặp vấn đề nào (none) không được chọn cùng đáp án khác. Nếu chọn Khác (other), ghi Q08_other.</x:v>
      </x:c>
    </x:row>
    <x:row r="43" ht="70" customHeight="1">
      <x:c r="A43" s="11" t="str">
        <x:v>AA</x:v>
      </x:c>
      <x:c r="B43" s="11" t="str">
        <x:v>Q08__tracking_unclear</x:v>
      </x:c>
      <x:c r="C43" s="11" t="str">
        <x:v>Chọn / không chọn</x:v>
      </x:c>
      <x:c r="D43" s="11" t="str">
        <x:v>Các vấn đề từng gặp?</x:v>
      </x:c>
      <x:c r="E43" s="11" t="str">
        <x:v>0 = không chọn; 1 = có chọn
tracking_unclear: Thông tin theo dõi đơn chưa rõ</x:v>
      </x:c>
      <x:c r="F43" s="11" t="str">
        <x:v>Không gặp vấn đề nào (none) không được chọn cùng đáp án khác. Nếu chọn Khác (other), ghi Q08_other.</x:v>
      </x:c>
    </x:row>
    <x:row r="44" ht="70" customHeight="1">
      <x:c r="A44" s="12" t="str">
        <x:v>AB</x:v>
      </x:c>
      <x:c r="B44" s="12" t="str">
        <x:v>Q08__payment_concern</x:v>
      </x:c>
      <x:c r="C44" s="12" t="str">
        <x:v>Chọn / không chọn</x:v>
      </x:c>
      <x:c r="D44" s="12" t="str">
        <x:v>Các vấn đề từng gặp?</x:v>
      </x:c>
      <x:c r="E44" s="12" t="str">
        <x:v>0 = không chọn; 1 = có chọn
payment_concern: Lo ngại thanh toán trực tuyến</x:v>
      </x:c>
      <x:c r="F44" s="12" t="str">
        <x:v>Không gặp vấn đề nào (none) không được chọn cùng đáp án khác. Nếu chọn Khác (other), ghi Q08_other.</x:v>
      </x:c>
    </x:row>
    <x:row r="45" ht="70" customHeight="1">
      <x:c r="A45" s="11" t="str">
        <x:v>AC</x:v>
      </x:c>
      <x:c r="B45" s="11" t="str">
        <x:v>Q08__none</x:v>
      </x:c>
      <x:c r="C45" s="11" t="str">
        <x:v>Chọn / không chọn</x:v>
      </x:c>
      <x:c r="D45" s="11" t="str">
        <x:v>Các vấn đề từng gặp?</x:v>
      </x:c>
      <x:c r="E45" s="11" t="str">
        <x:v>0 = không chọn; 1 = có chọn
none: Không gặp vấn đề nào</x:v>
      </x:c>
      <x:c r="F45" s="11" t="str">
        <x:v>Không gặp vấn đề nào (none) không được chọn cùng đáp án khác. Nếu chọn Khác (other), ghi Q08_other.</x:v>
      </x:c>
    </x:row>
    <x:row r="46" ht="70" customHeight="1">
      <x:c r="A46" s="12" t="str">
        <x:v>AD</x:v>
      </x:c>
      <x:c r="B46" s="12" t="str">
        <x:v>Q08__other</x:v>
      </x:c>
      <x:c r="C46" s="12" t="str">
        <x:v>Chọn / không chọn</x:v>
      </x:c>
      <x:c r="D46" s="12" t="str">
        <x:v>Các vấn đề từng gặp?</x:v>
      </x:c>
      <x:c r="E46" s="12" t="str">
        <x:v>0 = không chọn; 1 = có chọn
other: Khác</x:v>
      </x:c>
      <x:c r="F46" s="12" t="str">
        <x:v>Không gặp vấn đề nào (none) không được chọn cùng đáp án khác. Nếu chọn Khác (other), ghi Q08_other.</x:v>
      </x:c>
    </x:row>
    <x:row r="47" ht="70" customHeight="1">
      <x:c r="A47" s="11" t="str">
        <x:v>AE</x:v>
      </x:c>
      <x:c r="B47" s="11" t="str">
        <x:v>Q08_other</x:v>
      </x:c>
      <x:c r="C47" s="11" t="str">
        <x:v>Câu trả lời mở</x:v>
      </x:c>
      <x:c r="D47" s="11" t="str">
        <x:v>Vấn đề khác — mô tả</x:v>
      </x:c>
      <x:c r="E47" s="11" t="str">
        <x:v>Câu trả lời giả lập; để trống nếu không áp dụng</x:v>
      </x:c>
      <x:c r="F47" s="11" t="str">
        <x:v>Chỉ điền khi Q08 chọn Khác (other).</x:v>
      </x:c>
    </x:row>
    <x:row r="48" ht="160" customHeight="1">
      <x:c r="A48" s="12" t="str">
        <x:v>AF</x:v>
      </x:c>
      <x:c r="B48" s="12" t="str">
        <x:v>Q09a</x:v>
      </x:c>
      <x:c r="C48" s="12" t="str">
        <x:v>Chọn một đáp án</x:v>
      </x:c>
      <x:c r="D48" s="12" t="str">
        <x:v>Vấn đề ảnh hưởng nhiều nhất trong Q08?</x:v>
      </x:c>
      <x:c r="E48" s="12" t="str">
        <x:v>size_uncertain: Không chắc cỡ phù hợp
photo_mismatch: Hàng khác ảnh hoặc mô tả
returns_unclear: Đổi trả khó hoặc chưa rõ
late_total: Phí hoặc tổng tiền xuất hiện muộn
stock_unclear: Không rõ cỡ, màu còn hàng
tracking_unclear: Thông tin theo dõi đơn chưa rõ
payment_concern: Lo ngại thanh toán trực tuyến
other: Khác</x:v>
      </x:c>
      <x:c r="F48" s="12" t="str">
        <x:v>Chọn một vấn đề đã nêu ở Q08; để trống nếu không gặp vấn đề nào.</x:v>
      </x:c>
    </x:row>
    <x:row r="49" ht="70" customHeight="1">
      <x:c r="A49" s="11" t="str">
        <x:v>AG</x:v>
      </x:c>
      <x:c r="B49" s="11" t="str">
        <x:v>Q09b</x:v>
      </x:c>
      <x:c r="C49" s="11" t="str">
        <x:v>Câu trả lời mở</x:v>
      </x:c>
      <x:c r="D49" s="11" t="str">
        <x:v>Mô tả ngắn tình huống ảnh hưởng nhất</x:v>
      </x:c>
      <x:c r="E49" s="11" t="str">
        <x:v>Câu trả lời giả lập; để trống nếu không áp dụng</x:v>
      </x:c>
      <x:c r="F49" s="11" t="str">
        <x:v>Chỉ điền khi đã chọn Q09a. Nội dung được tạo giả lập, không phải lời người thật.</x:v>
      </x:c>
    </x:row>
    <x:row r="50" ht="70" customHeight="1">
      <x:c r="A50" s="12" t="str">
        <x:v>AH</x:v>
      </x:c>
      <x:c r="B50" s="12" t="str">
        <x:v>Q10</x:v>
      </x:c>
      <x:c r="C50" s="12" t="str">
        <x:v>Chọn một đáp án</x:v>
      </x:c>
      <x:c r="D50" s="12" t="str">
        <x:v>Bỏ dở đặt quần áo trực tuyến trong 03 tháng gần đây?</x:v>
      </x:c>
      <x:c r="E50" s="12" t="str">
        <x:v>yes: Có
no: Không
cannot_recall: Không nhớ</x:v>
      </x:c>
      <x:c r="F50" s="12" t="str">
        <x:v>Chỉ người chọn Có (yes) mới được hỏi Q11.</x:v>
      </x:c>
    </x:row>
    <x:row r="51" ht="70" customHeight="1">
      <x:c r="A51" s="11" t="str">
        <x:v>AI</x:v>
      </x:c>
      <x:c r="B51" s="11" t="str">
        <x:v>Q11__high_total</x:v>
      </x:c>
      <x:c r="C51" s="11" t="str">
        <x:v>Chọn / không chọn</x:v>
      </x:c>
      <x:c r="D51" s="11" t="str">
        <x:v>Lý do lần bỏ dở gần nhất?</x:v>
      </x:c>
      <x:c r="E51" s="11" t="str">
        <x:v>0 = không chọn; 1 = có chọn
high_total: Tổng tiền cao hơn dự kiến</x:v>
      </x:c>
      <x:c r="F51" s="11" t="str">
        <x:v>Chỉ hỏi khi Q10 chọn Có (yes); chọn ít nhất một đáp án. Nếu chọn Khác, ghi Q11_other. Mẫu số chỉ gồm phiếu hợp lệ có Q10=yes.</x:v>
      </x:c>
    </x:row>
    <x:row r="52" ht="70" customHeight="1">
      <x:c r="A52" s="12" t="str">
        <x:v>AJ</x:v>
      </x:c>
      <x:c r="B52" s="12" t="str">
        <x:v>Q11__missing_variant</x:v>
      </x:c>
      <x:c r="C52" s="12" t="str">
        <x:v>Chọn / không chọn</x:v>
      </x:c>
      <x:c r="D52" s="12" t="str">
        <x:v>Lý do lần bỏ dở gần nhất?</x:v>
      </x:c>
      <x:c r="E52" s="12" t="str">
        <x:v>0 = không chọn; 1 = có chọn
missing_variant: Thiếu cỡ hoặc màu</x:v>
      </x:c>
      <x:c r="F52" s="12" t="str">
        <x:v>Chỉ hỏi khi Q10 chọn Có (yes); chọn ít nhất một đáp án. Nếu chọn Khác, ghi Q11_other. Mẫu số chỉ gồm phiếu hợp lệ có Q10=yes.</x:v>
      </x:c>
    </x:row>
    <x:row r="53" ht="70" customHeight="1">
      <x:c r="A53" s="11" t="str">
        <x:v>AK</x:v>
      </x:c>
      <x:c r="B53" s="11" t="str">
        <x:v>Q11__complex_flow</x:v>
      </x:c>
      <x:c r="C53" s="11" t="str">
        <x:v>Chọn / không chọn</x:v>
      </x:c>
      <x:c r="D53" s="11" t="str">
        <x:v>Lý do lần bỏ dở gần nhất?</x:v>
      </x:c>
      <x:c r="E53" s="11" t="str">
        <x:v>0 = không chọn; 1 = có chọn
complex_flow: Quy trình phức tạp</x:v>
      </x:c>
      <x:c r="F53" s="11" t="str">
        <x:v>Chỉ hỏi khi Q10 chọn Có (yes); chọn ít nhất một đáp án. Nếu chọn Khác, ghi Q11_other. Mẫu số chỉ gồm phiếu hợp lệ có Q10=yes.</x:v>
      </x:c>
    </x:row>
    <x:row r="54" ht="70" customHeight="1">
      <x:c r="A54" s="12" t="str">
        <x:v>AL</x:v>
      </x:c>
      <x:c r="B54" s="12" t="str">
        <x:v>Q11__forced_account</x:v>
      </x:c>
      <x:c r="C54" s="12" t="str">
        <x:v>Chọn / không chọn</x:v>
      </x:c>
      <x:c r="D54" s="12" t="str">
        <x:v>Lý do lần bỏ dở gần nhất?</x:v>
      </x:c>
      <x:c r="E54" s="12" t="str">
        <x:v>0 = không chọn; 1 = có chọn
forced_account: Bắt buộc tạo tài khoản</x:v>
      </x:c>
      <x:c r="F54" s="12" t="str">
        <x:v>Chỉ hỏi khi Q10 chọn Có (yes); chọn ít nhất một đáp án. Nếu chọn Khác, ghi Q11_other. Mẫu số chỉ gồm phiếu hợp lệ có Q10=yes.</x:v>
      </x:c>
    </x:row>
    <x:row r="55" ht="70" customHeight="1">
      <x:c r="A55" s="11" t="str">
        <x:v>AM</x:v>
      </x:c>
      <x:c r="B55" s="11" t="str">
        <x:v>Q11__payment_distrust</x:v>
      </x:c>
      <x:c r="C55" s="11" t="str">
        <x:v>Chọn / không chọn</x:v>
      </x:c>
      <x:c r="D55" s="11" t="str">
        <x:v>Lý do lần bỏ dở gần nhất?</x:v>
      </x:c>
      <x:c r="E55" s="11" t="str">
        <x:v>0 = không chọn; 1 = có chọn
payment_distrust: Không tin tưởng thanh toán</x:v>
      </x:c>
      <x:c r="F55" s="11" t="str">
        <x:v>Chỉ hỏi khi Q10 chọn Có (yes); chọn ít nhất một đáp án. Nếu chọn Khác, ghi Q11_other. Mẫu số chỉ gồm phiếu hợp lệ có Q10=yes.</x:v>
      </x:c>
    </x:row>
    <x:row r="56" ht="70" customHeight="1">
      <x:c r="A56" s="12" t="str">
        <x:v>AN</x:v>
      </x:c>
      <x:c r="B56" s="12" t="str">
        <x:v>Q11__changed_need</x:v>
      </x:c>
      <x:c r="C56" s="12" t="str">
        <x:v>Chọn / không chọn</x:v>
      </x:c>
      <x:c r="D56" s="12" t="str">
        <x:v>Lý do lần bỏ dở gần nhất?</x:v>
      </x:c>
      <x:c r="E56" s="12" t="str">
        <x:v>0 = không chọn; 1 = có chọn
changed_need: Thay đổi nhu cầu</x:v>
      </x:c>
      <x:c r="F56" s="12" t="str">
        <x:v>Chỉ hỏi khi Q10 chọn Có (yes); chọn ít nhất một đáp án. Nếu chọn Khác, ghi Q11_other. Mẫu số chỉ gồm phiếu hợp lệ có Q10=yes.</x:v>
      </x:c>
    </x:row>
    <x:row r="57" ht="70" customHeight="1">
      <x:c r="A57" s="11" t="str">
        <x:v>AO</x:v>
      </x:c>
      <x:c r="B57" s="11" t="str">
        <x:v>Q11__technical_error</x:v>
      </x:c>
      <x:c r="C57" s="11" t="str">
        <x:v>Chọn / không chọn</x:v>
      </x:c>
      <x:c r="D57" s="11" t="str">
        <x:v>Lý do lần bỏ dở gần nhất?</x:v>
      </x:c>
      <x:c r="E57" s="11" t="str">
        <x:v>0 = không chọn; 1 = có chọn
technical_error: Lỗi kỹ thuật</x:v>
      </x:c>
      <x:c r="F57" s="11" t="str">
        <x:v>Chỉ hỏi khi Q10 chọn Có (yes); chọn ít nhất một đáp án. Nếu chọn Khác, ghi Q11_other. Mẫu số chỉ gồm phiếu hợp lệ có Q10=yes.</x:v>
      </x:c>
    </x:row>
    <x:row r="58" ht="70" customHeight="1">
      <x:c r="A58" s="12" t="str">
        <x:v>AP</x:v>
      </x:c>
      <x:c r="B58" s="12" t="str">
        <x:v>Q11__other</x:v>
      </x:c>
      <x:c r="C58" s="12" t="str">
        <x:v>Chọn / không chọn</x:v>
      </x:c>
      <x:c r="D58" s="12" t="str">
        <x:v>Lý do lần bỏ dở gần nhất?</x:v>
      </x:c>
      <x:c r="E58" s="12" t="str">
        <x:v>0 = không chọn; 1 = có chọn
other: Khác</x:v>
      </x:c>
      <x:c r="F58" s="12" t="str">
        <x:v>Chỉ hỏi khi Q10 chọn Có (yes); chọn ít nhất một đáp án. Nếu chọn Khác, ghi Q11_other. Mẫu số chỉ gồm phiếu hợp lệ có Q10=yes.</x:v>
      </x:c>
    </x:row>
    <x:row r="59" ht="70" customHeight="1">
      <x:c r="A59" s="11" t="str">
        <x:v>AQ</x:v>
      </x:c>
      <x:c r="B59" s="11" t="str">
        <x:v>Q11_other</x:v>
      </x:c>
      <x:c r="C59" s="11" t="str">
        <x:v>Câu trả lời mở</x:v>
      </x:c>
      <x:c r="D59" s="11" t="str">
        <x:v>Lý do bỏ dở khác — mô tả</x:v>
      </x:c>
      <x:c r="E59" s="11" t="str">
        <x:v>Câu trả lời giả lập; để trống nếu không áp dụng</x:v>
      </x:c>
      <x:c r="F59" s="11" t="str">
        <x:v>Chỉ điền khi Q11 chọn Khác (other).</x:v>
      </x:c>
    </x:row>
    <x:row r="60" ht="70" customHeight="1">
      <x:c r="A60" s="12" t="str">
        <x:v>AR</x:v>
      </x:c>
      <x:c r="B60" s="12" t="str">
        <x:v>Q12__size_measurements</x:v>
      </x:c>
      <x:c r="C60" s="12" t="str">
        <x:v>Chọn / không chọn</x:v>
      </x:c>
      <x:c r="D60" s="12" t="str">
        <x:v>Tối đa ba thông tin quan trọng nhất trước mua?</x:v>
      </x:c>
      <x:c r="E60" s="12" t="str">
        <x:v>0 = không chọn; 1 = có chọn
size_measurements: Số đo, cỡ quần áo</x:v>
      </x:c>
      <x:c r="F60" s="12" t="str">
        <x:v>Chọn từ 1 đến 3 đáp án khác nhau. Nếu chọn Khác (other), ghi Q12_other.</x:v>
      </x:c>
    </x:row>
    <x:row r="61" ht="70" customHeight="1">
      <x:c r="A61" s="11" t="str">
        <x:v>AS</x:v>
      </x:c>
      <x:c r="B61" s="11" t="str">
        <x:v>Q12__detail_photos</x:v>
      </x:c>
      <x:c r="C61" s="11" t="str">
        <x:v>Chọn / không chọn</x:v>
      </x:c>
      <x:c r="D61" s="11" t="str">
        <x:v>Tối đa ba thông tin quan trọng nhất trước mua?</x:v>
      </x:c>
      <x:c r="E61" s="11" t="str">
        <x:v>0 = không chọn; 1 = có chọn
detail_photos: Ảnh chi tiết</x:v>
      </x:c>
      <x:c r="F61" s="11" t="str">
        <x:v>Chọn từ 1 đến 3 đáp án khác nhau. Nếu chọn Khác (other), ghi Q12_other.</x:v>
      </x:c>
    </x:row>
    <x:row r="62" ht="70" customHeight="1">
      <x:c r="A62" s="12" t="str">
        <x:v>AT</x:v>
      </x:c>
      <x:c r="B62" s="12" t="str">
        <x:v>Q12__material</x:v>
      </x:c>
      <x:c r="C62" s="12" t="str">
        <x:v>Chọn / không chọn</x:v>
      </x:c>
      <x:c r="D62" s="12" t="str">
        <x:v>Tối đa ba thông tin quan trọng nhất trước mua?</x:v>
      </x:c>
      <x:c r="E62" s="12" t="str">
        <x:v>0 = không chọn; 1 = có chọn
material: Chất liệu</x:v>
      </x:c>
      <x:c r="F62" s="12" t="str">
        <x:v>Chọn từ 1 đến 3 đáp án khác nhau. Nếu chọn Khác (other), ghi Q12_other.</x:v>
      </x:c>
    </x:row>
    <x:row r="63" ht="70" customHeight="1">
      <x:c r="A63" s="11" t="str">
        <x:v>AU</x:v>
      </x:c>
      <x:c r="B63" s="11" t="str">
        <x:v>Q12__variant_stock</x:v>
      </x:c>
      <x:c r="C63" s="11" t="str">
        <x:v>Chọn / không chọn</x:v>
      </x:c>
      <x:c r="D63" s="11" t="str">
        <x:v>Tối đa ba thông tin quan trọng nhất trước mua?</x:v>
      </x:c>
      <x:c r="E63" s="11" t="str">
        <x:v>0 = không chọn; 1 = có chọn
variant_stock: Cỡ, màu còn hàng</x:v>
      </x:c>
      <x:c r="F63" s="11" t="str">
        <x:v>Chọn từ 1 đến 3 đáp án khác nhau. Nếu chọn Khác (other), ghi Q12_other.</x:v>
      </x:c>
    </x:row>
    <x:row r="64" ht="70" customHeight="1">
      <x:c r="A64" s="12" t="str">
        <x:v>AV</x:v>
      </x:c>
      <x:c r="B64" s="12" t="str">
        <x:v>Q12__final_total</x:v>
      </x:c>
      <x:c r="C64" s="12" t="str">
        <x:v>Chọn / không chọn</x:v>
      </x:c>
      <x:c r="D64" s="12" t="str">
        <x:v>Tối đa ba thông tin quan trọng nhất trước mua?</x:v>
      </x:c>
      <x:c r="E64" s="12" t="str">
        <x:v>0 = không chọn; 1 = có chọn
final_total: Tổng tiền cuối</x:v>
      </x:c>
      <x:c r="F64" s="12" t="str">
        <x:v>Chọn từ 1 đến 3 đáp án khác nhau. Nếu chọn Khác (other), ghi Q12_other.</x:v>
      </x:c>
    </x:row>
    <x:row r="65" ht="70" customHeight="1">
      <x:c r="A65" s="11" t="str">
        <x:v>AW</x:v>
      </x:c>
      <x:c r="B65" s="11" t="str">
        <x:v>Q12__returns_policy</x:v>
      </x:c>
      <x:c r="C65" s="11" t="str">
        <x:v>Chọn / không chọn</x:v>
      </x:c>
      <x:c r="D65" s="11" t="str">
        <x:v>Tối đa ba thông tin quan trọng nhất trước mua?</x:v>
      </x:c>
      <x:c r="E65" s="11" t="str">
        <x:v>0 = không chọn; 1 = có chọn
returns_policy: Điều kiện đổi trả</x:v>
      </x:c>
      <x:c r="F65" s="11" t="str">
        <x:v>Chọn từ 1 đến 3 đáp án khác nhau. Nếu chọn Khác (other), ghi Q12_other.</x:v>
      </x:c>
    </x:row>
    <x:row r="66" ht="70" customHeight="1">
      <x:c r="A66" s="12" t="str">
        <x:v>AX</x:v>
      </x:c>
      <x:c r="B66" s="12" t="str">
        <x:v>Q12__delivery_estimate</x:v>
      </x:c>
      <x:c r="C66" s="12" t="str">
        <x:v>Chọn / không chọn</x:v>
      </x:c>
      <x:c r="D66" s="12" t="str">
        <x:v>Tối đa ba thông tin quan trọng nhất trước mua?</x:v>
      </x:c>
      <x:c r="E66" s="12" t="str">
        <x:v>0 = không chọn; 1 = có chọn
delivery_estimate: Thời gian giao dự kiến</x:v>
      </x:c>
      <x:c r="F66" s="12" t="str">
        <x:v>Chọn từ 1 đến 3 đáp án khác nhau. Nếu chọn Khác (other), ghi Q12_other.</x:v>
      </x:c>
    </x:row>
    <x:row r="67" ht="70" customHeight="1">
      <x:c r="A67" s="11" t="str">
        <x:v>AY</x:v>
      </x:c>
      <x:c r="B67" s="11" t="str">
        <x:v>Q12__buyer_reviews</x:v>
      </x:c>
      <x:c r="C67" s="11" t="str">
        <x:v>Chọn / không chọn</x:v>
      </x:c>
      <x:c r="D67" s="11" t="str">
        <x:v>Tối đa ba thông tin quan trọng nhất trước mua?</x:v>
      </x:c>
      <x:c r="E67" s="11" t="str">
        <x:v>0 = không chọn; 1 = có chọn
buyer_reviews: Đánh giá người mua</x:v>
      </x:c>
      <x:c r="F67" s="11" t="str">
        <x:v>Chọn từ 1 đến 3 đáp án khác nhau. Nếu chọn Khác (other), ghi Q12_other.</x:v>
      </x:c>
    </x:row>
    <x:row r="68" ht="70" customHeight="1">
      <x:c r="A68" s="12" t="str">
        <x:v>AZ</x:v>
      </x:c>
      <x:c r="B68" s="12" t="str">
        <x:v>Q12__other</x:v>
      </x:c>
      <x:c r="C68" s="12" t="str">
        <x:v>Chọn / không chọn</x:v>
      </x:c>
      <x:c r="D68" s="12" t="str">
        <x:v>Tối đa ba thông tin quan trọng nhất trước mua?</x:v>
      </x:c>
      <x:c r="E68" s="12" t="str">
        <x:v>0 = không chọn; 1 = có chọn
other: Khác</x:v>
      </x:c>
      <x:c r="F68" s="12" t="str">
        <x:v>Chọn từ 1 đến 3 đáp án khác nhau. Nếu chọn Khác (other), ghi Q12_other.</x:v>
      </x:c>
    </x:row>
    <x:row r="69" ht="70" customHeight="1">
      <x:c r="A69" s="11" t="str">
        <x:v>BA</x:v>
      </x:c>
      <x:c r="B69" s="11" t="str">
        <x:v>Q12_other</x:v>
      </x:c>
      <x:c r="C69" s="11" t="str">
        <x:v>Câu trả lời mở</x:v>
      </x:c>
      <x:c r="D69" s="11" t="str">
        <x:v>Thông tin khác — mô tả</x:v>
      </x:c>
      <x:c r="E69" s="11" t="str">
        <x:v>Câu trả lời giả lập; để trống nếu không áp dụng</x:v>
      </x:c>
      <x:c r="F69" s="11" t="str">
        <x:v>Chỉ điền khi Q12 chọn Khác (other).</x:v>
      </x:c>
    </x:row>
    <x:row r="70" ht="70" customHeight="1">
      <x:c r="A70" s="12" t="str">
        <x:v>BB</x:v>
      </x:c>
      <x:c r="B70" s="12" t="str">
        <x:v>Q13</x:v>
      </x:c>
      <x:c r="C70" s="12" t="str">
        <x:v>Chọn một đáp án</x:v>
      </x:c>
      <x:c r="D70" s="12" t="str">
        <x:v>Cách thanh toán đơn gần đây nhất?</x:v>
      </x:c>
      <x:c r="E70" s="12" t="str">
        <x:v>cod: Trả khi nhận hàng (COD)
prepaid: Thanh toán trước
other: Khác
cannot_recall: Không nhớ</x:v>
      </x:c>
      <x:c r="F70" s="12" t="str">
        <x:v>Mô tả lần mua trong tình huống giả định; không suy ra từ ý định ở Q16.</x:v>
      </x:c>
    </x:row>
    <x:row r="71" ht="70" customHeight="1">
      <x:c r="A71" s="11" t="str">
        <x:v>BC</x:v>
      </x:c>
      <x:c r="B71" s="11" t="str">
        <x:v>Q13_reason</x:v>
      </x:c>
      <x:c r="C71" s="11" t="str">
        <x:v>Câu trả lời mở</x:v>
      </x:c>
      <x:c r="D71" s="11" t="str">
        <x:v>Lý do chọn phương thức thanh toán</x:v>
      </x:c>
      <x:c r="E71" s="11" t="str">
        <x:v>Câu trả lời giả lập; để trống nếu không áp dụng</x:v>
      </x:c>
      <x:c r="F71" s="11" t="str">
        <x:v>Có thể bỏ qua. Lý do được tạo giả lập; không có thông tin thẻ hay tài khoản thật.</x:v>
      </x:c>
    </x:row>
    <x:row r="72" ht="70" customHeight="1">
      <x:c r="A72" s="12" t="str">
        <x:v>BD</x:v>
      </x:c>
      <x:c r="B72" s="12" t="str">
        <x:v>Q14</x:v>
      </x:c>
      <x:c r="C72" s="12" t="str">
        <x:v>Chọn một đáp án</x:v>
      </x:c>
      <x:c r="D72" s="12" t="str">
        <x:v>Nếu website cho phép mua không tài khoản, bạn muốn?</x:v>
      </x:c>
      <x:c r="E72" s="12" t="str">
        <x:v>guest: Mua không tài khoản
register_now: Đăng ký ngay
depends_on_benefits: Tùy lợi ích
unsure: Không chắc</x:v>
      </x:c>
      <x:c r="F72" s="12" t="str">
        <x:v>Không mặc định mua không tài khoản là lựa chọn tốt hơn.</x:v>
      </x:c>
    </x:row>
    <x:row r="73" ht="70" customHeight="1">
      <x:c r="A73" s="11" t="str">
        <x:v>BE</x:v>
      </x:c>
      <x:c r="B73" s="11" t="str">
        <x:v>Q15__confirmed</x:v>
      </x:c>
      <x:c r="C73" s="11" t="str">
        <x:v>Chọn / không chọn</x:v>
      </x:c>
      <x:c r="D73" s="11" t="str">
        <x:v>Thông tin cần theo dõi?</x:v>
      </x:c>
      <x:c r="E73" s="11" t="str">
        <x:v>0 = không chọn; 1 = có chọn
confirmed: Đơn đã xác nhận</x:v>
      </x:c>
      <x:c r="F73" s="11" t="str">
        <x:v>Chọn ít nhất một đáp án; tổng tỷ lệ có thể vượt 100%.</x:v>
      </x:c>
    </x:row>
    <x:row r="74" ht="70" customHeight="1">
      <x:c r="A74" s="12" t="str">
        <x:v>BF</x:v>
      </x:c>
      <x:c r="B74" s="12" t="str">
        <x:v>Q15__preparing</x:v>
      </x:c>
      <x:c r="C74" s="12" t="str">
        <x:v>Chọn / không chọn</x:v>
      </x:c>
      <x:c r="D74" s="12" t="str">
        <x:v>Thông tin cần theo dõi?</x:v>
      </x:c>
      <x:c r="E74" s="12" t="str">
        <x:v>0 = không chọn; 1 = có chọn
preparing: Đang chuẩn bị</x:v>
      </x:c>
      <x:c r="F74" s="12" t="str">
        <x:v>Chọn ít nhất một đáp án; tổng tỷ lệ có thể vượt 100%.</x:v>
      </x:c>
    </x:row>
    <x:row r="75" ht="70" customHeight="1">
      <x:c r="A75" s="11" t="str">
        <x:v>BG</x:v>
      </x:c>
      <x:c r="B75" s="11" t="str">
        <x:v>Q15__handed_over</x:v>
      </x:c>
      <x:c r="C75" s="11" t="str">
        <x:v>Chọn / không chọn</x:v>
      </x:c>
      <x:c r="D75" s="11" t="str">
        <x:v>Thông tin cần theo dõi?</x:v>
      </x:c>
      <x:c r="E75" s="11" t="str">
        <x:v>0 = không chọn; 1 = có chọn
handed_over: Đã bàn giao</x:v>
      </x:c>
      <x:c r="F75" s="11" t="str">
        <x:v>Chọn ít nhất một đáp án; tổng tỷ lệ có thể vượt 100%.</x:v>
      </x:c>
    </x:row>
    <x:row r="76" ht="70" customHeight="1">
      <x:c r="A76" s="12" t="str">
        <x:v>BH</x:v>
      </x:c>
      <x:c r="B76" s="12" t="str">
        <x:v>Q15__tracking_number</x:v>
      </x:c>
      <x:c r="C76" s="12" t="str">
        <x:v>Chọn / không chọn</x:v>
      </x:c>
      <x:c r="D76" s="12" t="str">
        <x:v>Thông tin cần theo dõi?</x:v>
      </x:c>
      <x:c r="E76" s="12" t="str">
        <x:v>0 = không chọn; 1 = có chọn
tracking_number: Mã vận đơn</x:v>
      </x:c>
      <x:c r="F76" s="12" t="str">
        <x:v>Chọn ít nhất một đáp án; tổng tỷ lệ có thể vượt 100%.</x:v>
      </x:c>
    </x:row>
    <x:row r="77" ht="70" customHeight="1">
      <x:c r="A77" s="11" t="str">
        <x:v>BI</x:v>
      </x:c>
      <x:c r="B77" s="11" t="str">
        <x:v>Q15__eta</x:v>
      </x:c>
      <x:c r="C77" s="11" t="str">
        <x:v>Chọn / không chọn</x:v>
      </x:c>
      <x:c r="D77" s="11" t="str">
        <x:v>Thông tin cần theo dõi?</x:v>
      </x:c>
      <x:c r="E77" s="11" t="str">
        <x:v>0 = không chọn; 1 = có chọn
eta: Ngày giao dự kiến</x:v>
      </x:c>
      <x:c r="F77" s="11" t="str">
        <x:v>Chọn ít nhất một đáp án; tổng tỷ lệ có thể vượt 100%.</x:v>
      </x:c>
    </x:row>
    <x:row r="78" ht="70" customHeight="1">
      <x:c r="A78" s="12" t="str">
        <x:v>BJ</x:v>
      </x:c>
      <x:c r="B78" s="12" t="str">
        <x:v>Q15__per_parcel</x:v>
      </x:c>
      <x:c r="C78" s="12" t="str">
        <x:v>Chọn / không chọn</x:v>
      </x:c>
      <x:c r="D78" s="12" t="str">
        <x:v>Thông tin cần theo dõi?</x:v>
      </x:c>
      <x:c r="E78" s="12" t="str">
        <x:v>0 = không chọn; 1 = có chọn
per_parcel: Trạng thái từng kiện</x:v>
      </x:c>
      <x:c r="F78" s="12" t="str">
        <x:v>Chọn ít nhất một đáp án; tổng tỷ lệ có thể vượt 100%.</x:v>
      </x:c>
    </x:row>
    <x:row r="79" ht="70" customHeight="1">
      <x:c r="A79" s="11" t="str">
        <x:v>BK</x:v>
      </x:c>
      <x:c r="B79" s="11" t="str">
        <x:v>Q15__failure_and_help</x:v>
      </x:c>
      <x:c r="C79" s="11" t="str">
        <x:v>Chọn / không chọn</x:v>
      </x:c>
      <x:c r="D79" s="11" t="str">
        <x:v>Thông tin cần theo dõi?</x:v>
      </x:c>
      <x:c r="E79" s="11" t="str">
        <x:v>0 = không chọn; 1 = có chọn
failure_and_help: Giao không thành công và cách xử lý</x:v>
      </x:c>
      <x:c r="F79" s="11" t="str">
        <x:v>Chọn ít nhất một đáp án; tổng tỷ lệ có thể vượt 100%.</x:v>
      </x:c>
    </x:row>
    <x:row r="80" ht="109" customHeight="1">
      <x:c r="A80" s="12" t="str">
        <x:v>BL</x:v>
      </x:c>
      <x:c r="B80" s="12" t="str">
        <x:v>Q16</x:v>
      </x:c>
      <x:c r="C80" s="12" t="str">
        <x:v>Chọn một đáp án</x:v>
      </x:c>
      <x:c r="D80" s="12" t="str">
        <x:v>Mức sẵn sàng mua trên website thương hiệu?</x:v>
      </x:c>
      <x:c r="E80" s="12" t="str">
        <x:v>very_willing: Rất sẵn sàng
fairly_willing: Khá sẵn sàng
neutral: Trung lập
less_willing: Ít sẵn sàng
unwilling: Không sẵn sàng</x:v>
      </x:c>
      <x:c r="F80" s="12" t="str">
        <x:v>Là ý định trong tình huống giả định, không phải hành vi mua thực tế.</x:v>
      </x:c>
    </x:row>
    <x:row r="81" ht="70" customHeight="1">
      <x:c r="A81" s="11" t="str">
        <x:v>BM</x:v>
      </x:c>
      <x:c r="B81" s="11" t="str">
        <x:v>Q17</x:v>
      </x:c>
      <x:c r="C81" s="11" t="str">
        <x:v>Câu trả lời mở</x:v>
      </x:c>
      <x:c r="D81" s="11" t="str">
        <x:v>Một cải thiện quan trọng nhất mong muốn?</x:v>
      </x:c>
      <x:c r="E81" s="11" t="str">
        <x:v>Câu trả lời giả lập; để trống nếu không áp dụng</x:v>
      </x:c>
      <x:c r="F81" s="11" t="str">
        <x:v>Có thể bỏ qua; để trống không tự làm phiếu bị loại. Nội dung được tạo giả lập, không phải lời người thật.</x:v>
      </x:c>
    </x:row>
    <x:row r="82" ht="24" customHeight="1">
      <x:c r="A82" s="2"/>
      <x:c r="B82" s="2"/>
      <x:c r="C82" s="2"/>
      <x:c r="D82" s="2"/>
      <x:c r="E82" s="2"/>
      <x:c r="F82" s="2"/>
    </x:row>
    <x:row r="83" ht="24" customHeight="1">
      <x:c r="A83" s="2"/>
      <x:c r="B83" s="2"/>
      <x:c r="C83" s="2"/>
      <x:c r="D83" s="2"/>
      <x:c r="E83" s="2"/>
      <x:c r="F83" s="2"/>
    </x:row>
    <x:row r="84" ht="24" customHeight="1">
      <x:c r="A84" s="2"/>
      <x:c r="B84" s="2"/>
      <x:c r="C84" s="2"/>
      <x:c r="D84" s="2"/>
      <x:c r="E84" s="2"/>
      <x:c r="F84" s="2"/>
    </x:row>
    <x:row r="85" ht="42" customHeight="1">
      <x:c r="A85" s="9" t="str">
        <x:v>Mã giả lập (SYN)</x:v>
      </x:c>
      <x:c r="B85" s="9" t="str">
        <x:v>Nhãn</x:v>
      </x:c>
      <x:c r="C85" s="9" t="str">
        <x:v>Tình huống thử phiếu</x:v>
      </x:c>
      <x:c r="D85" s="9" t="str">
        <x:v>Vấn đề giả định</x:v>
      </x:c>
      <x:c r="E85" s="9" t="str">
        <x:v>Đề xuất điều chỉnh</x:v>
      </x:c>
      <x:c r="F85" s="9" t="str">
        <x:v>Kết quả mong đợi</x:v>
      </x:c>
    </x:row>
    <x:row r="86" ht="110" customHeight="1">
      <x:c r="A86" s="11" t="str">
        <x:v>SYN-PILOT-01</x:v>
      </x:c>
      <x:c r="B86" s="11" t="str">
        <x:v>SYN</x:v>
      </x:c>
      <x:c r="C86" s="11" t="str">
        <x:v>Giả định Q01 chọn Không.</x:v>
      </x:c>
      <x:c r="D86" s="11" t="str">
        <x:v>Tiếp tục hỏi sẽ trái với lựa chọn không tham gia.</x:v>
      </x:c>
      <x:c r="E86" s="11" t="str">
        <x:v>Dừng ngay khi Q01=no; không hiển thị Q02–Q17.</x:v>
      </x:c>
      <x:c r="F86" s="11" t="str">
        <x:v>Q02–Q17 để trống; loại với mã no_consent. Đây không phải sự đồng ý tham gia của người thật.</x:v>
      </x:c>
    </x:row>
    <x:row r="87" ht="110" customHeight="1">
      <x:c r="A87" s="12" t="str">
        <x:v>SYN-PILOT-02</x:v>
      </x:c>
      <x:c r="B87" s="12" t="str">
        <x:v>SYN</x:v>
      </x:c>
      <x:c r="C87" s="12" t="str">
        <x:v>Giả định dưới 18, trên 44 tuổi hoặc không muốn trả lời tuổi ở Q02.</x:v>
      </x:c>
      <x:c r="D87" s="12" t="str">
        <x:v>Có thể nhầm nhóm không trả lời tuổi là đủ điều kiện.</x:v>
      </x:c>
      <x:c r="E87" s="12" t="str">
        <x:v>Chỉ cho ba nhóm 18–24, 25–34 và 35–44 tiếp tục; không hỏi ngày sinh.</x:v>
      </x:c>
      <x:c r="F87" s="12" t="str">
        <x:v>Các trường hợp khác dừng sau Q02; lý do loại là out_of_age.</x:v>
      </x:c>
    </x:row>
    <x:row r="88" ht="110" customHeight="1">
      <x:c r="A88" s="11" t="str">
        <x:v>SYN-PILOT-03</x:v>
      </x:c>
      <x:c r="B88" s="11" t="str">
        <x:v>SYN</x:v>
      </x:c>
      <x:c r="C88" s="11" t="str">
        <x:v>Giả định Q03 chọn Không mua trong 6 tháng.</x:v>
      </x:c>
      <x:c r="D88" s="11" t="str">
        <x:v>Có thể kể lần mua quá cũ, ngoài thời gian được hỏi.</x:v>
      </x:c>
      <x:c r="E88" s="11" t="str">
        <x:v>Nêu rõ 6 tháng gần đây và dừng nếu Q03=no.</x:v>
      </x:c>
      <x:c r="F88" s="11" t="str">
        <x:v>Q04–Q17 để trống; lý do loại là no_recent_purchase.</x:v>
      </x:c>
    </x:row>
    <x:row r="89" ht="110" customHeight="1">
      <x:c r="A89" s="12" t="str">
        <x:v>SYN-PILOT-04</x:v>
      </x:c>
      <x:c r="B89" s="12" t="str">
        <x:v>SYN</x:v>
      </x:c>
      <x:c r="C89" s="12" t="str">
        <x:v>Giả định Q08 cùng chọn Không gặp vấn đề nào và Không chắc cỡ phù hợp.</x:v>
      </x:c>
      <x:c r="D89" s="12" t="str">
        <x:v>Hai đáp án trái nhau làm sai kết quả.</x:v>
      </x:c>
      <x:c r="E89" s="12" t="str">
        <x:v>Không cho chọn Không gặp vấn đề nào (none) cùng đáp án khác; yêu cầu chọn lại, không tự đoán.</x:v>
      </x:c>
      <x:c r="F89" s="12" t="str">
        <x:v>Không nhận hai đáp án trái nhau. Nếu Q08=[none], bỏ qua Q09a và Q09b.</x:v>
      </x:c>
    </x:row>
    <x:row r="90" ht="110" customHeight="1">
      <x:c r="A90" s="11" t="str">
        <x:v>SYN-PILOT-05</x:v>
      </x:c>
      <x:c r="B90" s="11" t="str">
        <x:v>SYN</x:v>
      </x:c>
      <x:c r="C90" s="11" t="str">
        <x:v>Giả định Q08 chọn khó chọn cỡ, ảnh khác mô tả nhưng Q09a chọn khó theo dõi đơn.</x:v>
      </x:c>
      <x:c r="D90" s="11" t="str">
        <x:v>Q09a có thể nêu vấn đề chưa chọn ở Q08.</x:v>
      </x:c>
      <x:c r="E90" s="11" t="str">
        <x:v>Chỉ hiện các đáp án đã chọn ở Q08; nếu sửa Q08 thì kiểm tra lại Q09a.</x:v>
      </x:c>
      <x:c r="F90" s="11" t="str">
        <x:v>Q09a phải là một vấn đề đã chọn. Q09b mô tả tình huống giả lập, không có thông tin cá nhân thật.</x:v>
      </x:c>
    </x:row>
    <x:row r="91" ht="110" customHeight="1">
      <x:c r="A91" s="12" t="str">
        <x:v>SYN-PILOT-06</x:v>
      </x:c>
      <x:c r="B91" s="12" t="str">
        <x:v>SYN</x:v>
      </x:c>
      <x:c r="C91" s="12" t="str">
        <x:v>Giả định Q10 lần lượt chọn Có, Không và Không nhớ.</x:v>
      </x:c>
      <x:c r="D91" s="12" t="str">
        <x:v>Có thể bắt trả lời Q11 dù chưa từng bỏ dở hoặc không nhớ.</x:v>
      </x:c>
      <x:c r="E91" s="12" t="str">
        <x:v>Chỉ hỏi Q11 khi Q10=yes; trường hợp khác chuyển đến Q12.</x:v>
      </x:c>
      <x:c r="F91" s="12" t="str">
        <x:v>Nếu không được hỏi thì Q11 để trống, không ghi thành không có lý do.</x:v>
      </x:c>
    </x:row>
    <x:row r="92" ht="110" customHeight="1">
      <x:c r="A92" s="11" t="str">
        <x:v>SYN-PILOT-07</x:v>
      </x:c>
      <x:c r="B92" s="11" t="str">
        <x:v>SYN</x:v>
      </x:c>
      <x:c r="C92" s="11" t="str">
        <x:v>Giả định chọn bốn thông tin ở Q12.</x:v>
      </x:c>
      <x:c r="D92" s="11" t="str">
        <x:v>Chỉ ghi tối đa ba chưa chắc ngăn được chọn quá số lượng.</x:v>
      </x:c>
      <x:c r="E92" s="11" t="str">
        <x:v>Nêu hướng dẫn và kiểm tra tối đa 3 đáp án trong phiếu và khi xử lý dữ liệu.</x:v>
      </x:c>
      <x:c r="F92" s="11" t="str">
        <x:v>Chỉ nhận 1–3 đáp án khác nhau; tổng lượt chọn không vượt 3 × số người được hỏi.</x:v>
      </x:c>
    </x:row>
    <x:row r="93" ht="110" customHeight="1">
      <x:c r="A93" s="12" t="str">
        <x:v>SYN-PILOT-08</x:v>
      </x:c>
      <x:c r="B93" s="12" t="str">
        <x:v>SYN</x:v>
      </x:c>
      <x:c r="C93" s="12" t="str">
        <x:v>Giả định tính tỷ lệ lý do ở Q11.</x:v>
      </x:c>
      <x:c r="D93" s="12" t="str">
        <x:v>Dùng cả 120 phiếu làm mẫu số sẽ làm sai tỷ lệ của nhóm đã bỏ dở.</x:v>
      </x:c>
      <x:c r="E93" s="12" t="str">
        <x:v>Chỉ lấy phiếu hợp lệ có Q10=yes và đã trả lời Q11; tách người không được hỏi.</x:v>
      </x:c>
      <x:c r="F93" s="12" t="str">
        <x:v>Bộ giả lập này có 60 người được hỏi Q11. Vì được chọn nhiều đáp án nên tổng tỷ lệ có thể vượt 100%.</x:v>
      </x:c>
    </x:row>
    <x:row r="94" ht="110" customHeight="1">
      <x:c r="A94" s="11" t="str">
        <x:v>SYN-PILOT-09</x:v>
      </x:c>
      <x:c r="B94" s="11" t="str">
        <x:v>SYN</x:v>
      </x:c>
      <x:c r="C94" s="11" t="str">
        <x:v>Giả định đã trả lời xong nhưng bỏ qua Q17 hoặc lý do mở ở Q13.</x:v>
      </x:c>
      <x:c r="D94" s="11" t="str">
        <x:v>Dễ nhầm câu mở không bắt buộc bị bỏ trống với phiếu chưa xong.</x:v>
      </x:c>
      <x:c r="E94" s="11" t="str">
        <x:v>Tách ô mở không bắt buộc với câu chính chưa trả lời; để trống, không tự thêm câu trả lời.</x:v>
      </x:c>
      <x:c r="F94" s="11" t="str">
        <x:v>Không loại chỉ vì thiếu câu mở không bắt buộc. Khi tính câu mở, lấy số người thực sự có trả lời làm mẫu số.</x:v>
      </x:c>
    </x:row>
    <x:row r="95" ht="110" customHeight="1">
      <x:c r="A95" s="12" t="str">
        <x:v>SYN-PILOT-10</x:v>
      </x:c>
      <x:c r="B95" s="12" t="str">
        <x:v>SYN</x:v>
      </x:c>
      <x:c r="C95" s="12" t="str">
        <x:v>Giả định Q06 chưa mua ở website thương hiệu nhưng Q16 rất sẵn sàng mua.</x:v>
      </x:c>
      <x:c r="D95" s="12" t="str">
        <x:v>Dễ nhầm việc đã làm với ý định tương lai rồi đánh dấu dữ liệu sai.</x:v>
      </x:c>
      <x:c r="E95" s="12" t="str">
        <x:v>Giữ hai câu riêng; Q06 hỏi quá khứ, Q16 hỏi ý định.</x:v>
      </x:c>
      <x:c r="F95" s="12" t="str">
        <x:v>Hai đáp án này không mâu thuẫn. Q16 không chứng minh đã mua thật hay có nhu cầu thị trường.</x:v>
      </x:c>
    </x:row>
    <x:row r="96" ht="24" customHeight="1">
      <x:c r="A96" s="2"/>
      <x:c r="B96" s="2"/>
      <x:c r="C96" s="2"/>
      <x:c r="D96" s="2"/>
      <x:c r="E96" s="2"/>
      <x:c r="F96" s="2"/>
    </x:row>
    <x:row r="97" ht="24" customHeight="1">
      <x:c r="A97" s="2"/>
      <x:c r="B97" s="2"/>
      <x:c r="C97" s="2"/>
      <x:c r="D97" s="2"/>
      <x:c r="E97" s="2"/>
      <x:c r="F97" s="2"/>
    </x:row>
    <x:row r="98" ht="24" customHeight="1">
      <x:c r="A98" s="2"/>
      <x:c r="B98" s="2"/>
      <x:c r="C98" s="2"/>
      <x:c r="D98" s="2"/>
      <x:c r="E98" s="2"/>
      <x:c r="F98" s="2"/>
    </x:row>
    <x:row r="99" ht="24" customHeight="1">
      <x:c r="A99" s="2"/>
      <x:c r="B99" s="2"/>
      <x:c r="C99" s="2"/>
      <x:c r="D99" s="2"/>
      <x:c r="E99" s="2"/>
      <x:c r="F99" s="2"/>
    </x:row>
    <x:row r="100" ht="24" customHeight="1">
      <x:c r="A100" s="2"/>
      <x:c r="B100" s="2"/>
      <x:c r="C100" s="2"/>
      <x:c r="D100" s="2"/>
      <x:c r="E100" s="2"/>
      <x:c r="F100" s="2"/>
    </x:row>
    <x:row r="101" ht="24" customHeight="1">
      <x:c r="A101" s="2"/>
      <x:c r="B101" s="2"/>
      <x:c r="C101" s="2"/>
      <x:c r="D101" s="2"/>
      <x:c r="E101" s="2"/>
      <x:c r="F101" s="2"/>
    </x:row>
    <x:row r="102" ht="24" customHeight="1">
      <x:c r="A102" s="2"/>
      <x:c r="B102" s="2"/>
      <x:c r="C102" s="2"/>
      <x:c r="D102" s="2"/>
      <x:c r="E102" s="2"/>
      <x:c r="F102" s="2"/>
    </x:row>
    <x:row r="103" ht="24" customHeight="1">
      <x:c r="A103" s="2"/>
      <x:c r="B103" s="2"/>
      <x:c r="C103" s="2"/>
      <x:c r="D103" s="2"/>
      <x:c r="E103" s="2"/>
      <x:c r="F103" s="2"/>
    </x:row>
    <x:row r="104" ht="24" customHeight="1">
      <x:c r="A104" s="2"/>
      <x:c r="B104" s="2"/>
      <x:c r="C104" s="2"/>
      <x:c r="D104" s="2"/>
      <x:c r="E104" s="2"/>
      <x:c r="F104" s="2"/>
    </x:row>
    <x:row r="105" ht="24" customHeight="1">
      <x:c r="A105" s="2"/>
      <x:c r="B105" s="2"/>
      <x:c r="C105" s="2"/>
      <x:c r="D105" s="2"/>
      <x:c r="E105" s="2"/>
      <x:c r="F105" s="2"/>
    </x:row>
    <x:row r="106" ht="24" customHeight="1">
      <x:c r="A106" s="2"/>
      <x:c r="B106" s="2"/>
      <x:c r="C106" s="2"/>
      <x:c r="D106" s="2"/>
      <x:c r="E106" s="2"/>
      <x:c r="F106" s="2"/>
    </x:row>
    <x:row r="107" ht="24" customHeight="1">
      <x:c r="A107" s="2"/>
      <x:c r="B107" s="2"/>
      <x:c r="C107" s="2"/>
      <x:c r="D107" s="2"/>
      <x:c r="E107" s="2"/>
      <x:c r="F107" s="2"/>
    </x:row>
    <x:row r="108" ht="24" customHeight="1">
      <x:c r="A108" s="2"/>
      <x:c r="B108" s="2"/>
      <x:c r="C108" s="2"/>
      <x:c r="D108" s="2"/>
      <x:c r="E108" s="2"/>
      <x:c r="F108" s="2"/>
    </x:row>
    <x:row r="109" ht="24" customHeight="1">
      <x:c r="A109" s="2"/>
      <x:c r="B109" s="2"/>
      <x:c r="C109" s="2"/>
      <x:c r="D109" s="2"/>
      <x:c r="E109" s="2"/>
      <x:c r="F109" s="2"/>
    </x:row>
    <x:row r="110" ht="24" customHeight="1">
      <x:c r="A110" s="2"/>
      <x:c r="B110" s="2"/>
      <x:c r="C110" s="2"/>
      <x:c r="D110" s="2"/>
      <x:c r="E110" s="2"/>
      <x:c r="F110" s="2"/>
    </x:row>
    <x:row r="111" ht="24" customHeight="1">
      <x:c r="A111" s="2"/>
      <x:c r="B111" s="2"/>
      <x:c r="C111" s="2"/>
      <x:c r="D111" s="2"/>
      <x:c r="E111" s="2"/>
      <x:c r="F111" s="2"/>
    </x:row>
    <x:row r="112" ht="24" customHeight="1">
      <x:c r="A112" s="2"/>
      <x:c r="B112" s="2"/>
      <x:c r="C112" s="2"/>
      <x:c r="D112" s="2"/>
      <x:c r="E112" s="2"/>
      <x:c r="F112" s="2"/>
    </x:row>
    <x:row r="113" ht="24" customHeight="1">
      <x:c r="A113" s="2"/>
      <x:c r="B113" s="2"/>
      <x:c r="C113" s="2"/>
      <x:c r="D113" s="2"/>
      <x:c r="E113" s="2"/>
      <x:c r="F113" s="2"/>
    </x:row>
    <x:row r="114" ht="24" customHeight="1">
      <x:c r="A114" s="2"/>
      <x:c r="B114" s="2"/>
      <x:c r="C114" s="2"/>
      <x:c r="D114" s="2"/>
      <x:c r="E114" s="2"/>
      <x:c r="F114" s="2"/>
    </x:row>
    <x:row r="115" ht="24" customHeight="1">
      <x:c r="A115" s="2"/>
      <x:c r="B115" s="2"/>
      <x:c r="C115" s="2"/>
      <x:c r="D115" s="2"/>
      <x:c r="E115" s="2"/>
      <x:c r="F115" s="2"/>
    </x:row>
    <x:row r="116" ht="24" customHeight="1">
      <x:c r="A116" s="2"/>
      <x:c r="B116" s="2"/>
      <x:c r="C116" s="2"/>
      <x:c r="D116" s="2"/>
      <x:c r="E116" s="2"/>
      <x:c r="F116" s="2"/>
    </x:row>
    <x:row r="117" ht="24" customHeight="1">
      <x:c r="A117" s="2"/>
      <x:c r="B117" s="2"/>
      <x:c r="C117" s="2"/>
      <x:c r="D117" s="2"/>
      <x:c r="E117" s="2"/>
      <x:c r="F117" s="2"/>
    </x:row>
    <x:row r="118" ht="24" customHeight="1">
      <x:c r="A118" s="2"/>
      <x:c r="B118" s="2"/>
      <x:c r="C118" s="2"/>
      <x:c r="D118" s="2"/>
      <x:c r="E118" s="2"/>
      <x:c r="F118" s="2"/>
    </x:row>
    <x:row r="119" ht="24" customHeight="1">
      <x:c r="A119" s="2"/>
      <x:c r="B119" s="2"/>
      <x:c r="C119" s="2"/>
      <x:c r="D119" s="2"/>
      <x:c r="E119" s="2"/>
      <x:c r="F119" s="2"/>
    </x:row>
    <x:row r="120" ht="24" customHeight="1">
      <x:c r="A120" s="2"/>
      <x:c r="B120" s="2"/>
      <x:c r="C120" s="2"/>
      <x:c r="D120" s="2"/>
      <x:c r="E120" s="2"/>
      <x:c r="F120" s="2"/>
    </x:row>
    <x:row r="121" ht="24" customHeight="1">
      <x:c r="A121" s="2"/>
      <x:c r="B121" s="2"/>
      <x:c r="C121" s="2"/>
      <x:c r="D121" s="2"/>
      <x:c r="E121" s="2"/>
      <x:c r="F121" s="2"/>
    </x:row>
    <x:row r="122" ht="24" customHeight="1">
      <x:c r="A122" s="2"/>
      <x:c r="B122" s="2"/>
      <x:c r="C122" s="2"/>
      <x:c r="D122" s="2"/>
      <x:c r="E122" s="2"/>
      <x:c r="F122" s="2"/>
    </x:row>
    <x:row r="123" ht="24" customHeight="1">
      <x:c r="A123" s="2"/>
      <x:c r="B123" s="2"/>
      <x:c r="C123" s="2"/>
      <x:c r="D123" s="2"/>
      <x:c r="E123" s="2"/>
      <x:c r="F123" s="2"/>
    </x:row>
    <x:row r="124" ht="24" customHeight="1">
      <x:c r="A124" s="2"/>
      <x:c r="B124" s="2"/>
      <x:c r="C124" s="2"/>
      <x:c r="D124" s="2"/>
      <x:c r="E124" s="2"/>
      <x:c r="F124" s="2"/>
    </x:row>
    <x:row r="125" ht="24" customHeight="1">
      <x:c r="A125" s="2"/>
      <x:c r="B125" s="2"/>
      <x:c r="C125" s="2"/>
      <x:c r="D125" s="2"/>
      <x:c r="E125" s="2"/>
      <x:c r="F125" s="2"/>
    </x:row>
    <x:row r="126" ht="24" customHeight="1">
      <x:c r="A126" s="2"/>
      <x:c r="B126" s="2"/>
      <x:c r="C126" s="2"/>
      <x:c r="D126" s="2"/>
      <x:c r="E126" s="2"/>
      <x:c r="F126" s="2"/>
    </x:row>
    <x:row r="127" ht="24" customHeight="1">
      <x:c r="A127" s="2"/>
      <x:c r="B127" s="2"/>
      <x:c r="C127" s="2"/>
      <x:c r="D127" s="2"/>
      <x:c r="E127" s="2"/>
      <x:c r="F127" s="2"/>
    </x:row>
    <x:row r="128" ht="24" customHeight="1">
      <x:c r="A128" s="2"/>
      <x:c r="B128" s="2"/>
      <x:c r="C128" s="2"/>
      <x:c r="D128" s="2"/>
      <x:c r="E128" s="2"/>
      <x:c r="F128" s="2"/>
    </x:row>
    <x:row r="129" ht="24" customHeight="1">
      <x:c r="A129" s="2"/>
      <x:c r="B129" s="2"/>
      <x:c r="C129" s="2"/>
      <x:c r="D129" s="2"/>
      <x:c r="E129" s="2"/>
      <x:c r="F129" s="2"/>
    </x:row>
    <x:row r="130" ht="24" customHeight="1">
      <x:c r="A130" s="2"/>
      <x:c r="B130" s="2"/>
      <x:c r="C130" s="2"/>
      <x:c r="D130" s="2"/>
      <x:c r="E130" s="2"/>
      <x:c r="F130" s="2"/>
    </x:row>
    <x:row r="131" ht="24" customHeight="1">
      <x:c r="A131" s="2"/>
      <x:c r="B131" s="2"/>
      <x:c r="C131" s="2"/>
      <x:c r="D131" s="2"/>
      <x:c r="E131" s="2"/>
      <x:c r="F131" s="2"/>
    </x:row>
    <x:row r="132" ht="24" customHeight="1">
      <x:c r="A132" s="2"/>
      <x:c r="B132" s="2"/>
      <x:c r="C132" s="2"/>
      <x:c r="D132" s="2"/>
      <x:c r="E132" s="2"/>
      <x:c r="F132" s="2"/>
    </x:row>
    <x:row r="133" ht="24" customHeight="1">
      <x:c r="A133" s="2"/>
      <x:c r="B133" s="2"/>
      <x:c r="C133" s="2"/>
      <x:c r="D133" s="2"/>
      <x:c r="E133" s="2"/>
      <x:c r="F133" s="2"/>
    </x:row>
    <x:row r="134" ht="24" customHeight="1">
      <x:c r="A134" s="2"/>
      <x:c r="B134" s="2"/>
      <x:c r="C134" s="2"/>
      <x:c r="D134" s="2"/>
      <x:c r="E134" s="2"/>
      <x:c r="F134" s="2"/>
    </x:row>
    <x:row r="135" ht="24" customHeight="1">
      <x:c r="A135" s="2"/>
      <x:c r="B135" s="2"/>
      <x:c r="C135" s="2"/>
      <x:c r="D135" s="2"/>
      <x:c r="E135" s="2"/>
      <x:c r="F135" s="2"/>
    </x:row>
    <x:row r="136" ht="24" customHeight="1">
      <x:c r="A136" s="2"/>
      <x:c r="B136" s="2"/>
      <x:c r="C136" s="2"/>
      <x:c r="D136" s="2"/>
      <x:c r="E136" s="2"/>
      <x:c r="F136" s="2"/>
    </x:row>
    <x:row r="137" ht="24" customHeight="1">
      <x:c r="A137" s="2"/>
      <x:c r="B137" s="2"/>
      <x:c r="C137" s="2"/>
      <x:c r="D137" s="2"/>
      <x:c r="E137" s="2"/>
      <x:c r="F137" s="2"/>
    </x:row>
    <x:row r="138" ht="24" customHeight="1">
      <x:c r="A138" s="2"/>
      <x:c r="B138" s="2"/>
      <x:c r="C138" s="2"/>
      <x:c r="D138" s="2"/>
      <x:c r="E138" s="2"/>
      <x:c r="F138" s="2"/>
    </x:row>
    <x:row r="139" ht="24" customHeight="1">
      <x:c r="A139" s="2"/>
      <x:c r="B139" s="2"/>
      <x:c r="C139" s="2"/>
      <x:c r="D139" s="2"/>
      <x:c r="E139" s="2"/>
      <x:c r="F139" s="2"/>
    </x:row>
    <x:row r="140" ht="24" customHeight="1">
      <x:c r="A140" s="2"/>
      <x:c r="B140" s="2"/>
      <x:c r="C140" s="2"/>
      <x:c r="D140" s="2"/>
      <x:c r="E140" s="2"/>
      <x:c r="F140" s="2"/>
    </x:row>
    <x:row r="141" ht="24" customHeight="1">
      <x:c r="A141" s="2"/>
      <x:c r="B141" s="2"/>
      <x:c r="C141" s="2"/>
      <x:c r="D141" s="2"/>
      <x:c r="E141" s="2"/>
      <x:c r="F141" s="2"/>
    </x:row>
    <x:row r="142" ht="24" customHeight="1">
      <x:c r="A142" s="2"/>
      <x:c r="B142" s="2"/>
      <x:c r="C142" s="2"/>
      <x:c r="D142" s="2"/>
      <x:c r="E142" s="2"/>
      <x:c r="F142" s="2"/>
    </x:row>
    <x:row r="143" ht="24" customHeight="1">
      <x:c r="A143" s="2"/>
      <x:c r="B143" s="2"/>
      <x:c r="C143" s="2"/>
      <x:c r="D143" s="2"/>
      <x:c r="E143" s="2"/>
      <x:c r="F143" s="2"/>
    </x:row>
    <x:row r="144" ht="24" customHeight="1">
      <x:c r="A144" s="2"/>
      <x:c r="B144" s="2"/>
      <x:c r="C144" s="2"/>
      <x:c r="D144" s="2"/>
      <x:c r="E144" s="2"/>
      <x:c r="F144" s="2"/>
    </x:row>
    <x:row r="145" ht="24" customHeight="1">
      <x:c r="A145" s="2"/>
      <x:c r="B145" s="2"/>
      <x:c r="C145" s="2"/>
      <x:c r="D145" s="2"/>
      <x:c r="E145" s="2"/>
      <x:c r="F145" s="2"/>
    </x:row>
    <x:row r="146" ht="24" customHeight="1">
      <x:c r="A146" s="2"/>
      <x:c r="B146" s="2"/>
      <x:c r="C146" s="2"/>
      <x:c r="D146" s="2"/>
      <x:c r="E146" s="2"/>
      <x:c r="F146" s="2"/>
    </x:row>
    <x:row r="147" ht="24" customHeight="1">
      <x:c r="A147" s="2"/>
      <x:c r="B147" s="2"/>
      <x:c r="C147" s="2"/>
      <x:c r="D147" s="2"/>
      <x:c r="E147" s="2"/>
      <x:c r="F147" s="2"/>
    </x:row>
    <x:row r="148" ht="24" customHeight="1">
      <x:c r="A148" s="2"/>
      <x:c r="B148" s="2"/>
      <x:c r="C148" s="2"/>
      <x:c r="D148" s="2"/>
      <x:c r="E148" s="2"/>
      <x:c r="F148" s="2"/>
    </x:row>
    <x:row r="149" ht="24" customHeight="1">
      <x:c r="A149" s="2"/>
      <x:c r="B149" s="2"/>
      <x:c r="C149" s="2"/>
      <x:c r="D149" s="2"/>
      <x:c r="E149" s="2"/>
      <x:c r="F149" s="2"/>
    </x:row>
    <x:row r="150" ht="24" customHeight="1">
      <x:c r="A150" s="2"/>
      <x:c r="B150" s="2"/>
      <x:c r="C150" s="2"/>
      <x:c r="D150" s="2"/>
      <x:c r="E150" s="2"/>
      <x:c r="F150" s="2"/>
    </x:row>
    <x:row r="151" ht="24" customHeight="1">
      <x:c r="A151" s="2"/>
      <x:c r="B151" s="2"/>
      <x:c r="C151" s="2"/>
      <x:c r="D151" s="2"/>
      <x:c r="E151" s="2"/>
      <x:c r="F151" s="2"/>
    </x:row>
    <x:row r="152" ht="24" customHeight="1">
      <x:c r="A152" s="2"/>
      <x:c r="B152" s="2"/>
      <x:c r="C152" s="2"/>
      <x:c r="D152" s="2"/>
      <x:c r="E152" s="2"/>
      <x:c r="F152" s="2"/>
    </x:row>
    <x:row r="153" ht="24" customHeight="1">
      <x:c r="A153" s="2"/>
      <x:c r="B153" s="2"/>
      <x:c r="C153" s="2"/>
      <x:c r="D153" s="2"/>
      <x:c r="E153" s="2"/>
      <x:c r="F153" s="2"/>
    </x:row>
    <x:row r="154" ht="24" customHeight="1">
      <x:c r="A154" s="2"/>
      <x:c r="B154" s="2"/>
      <x:c r="C154" s="2"/>
      <x:c r="D154" s="2"/>
      <x:c r="E154" s="2"/>
      <x:c r="F154" s="2"/>
    </x:row>
    <x:row r="155" ht="24" customHeight="1">
      <x:c r="A155" s="2"/>
      <x:c r="B155" s="2"/>
      <x:c r="C155" s="2"/>
      <x:c r="D155" s="2"/>
      <x:c r="E155" s="2"/>
      <x:c r="F155" s="2"/>
    </x:row>
    <x:row r="156" ht="24" customHeight="1">
      <x:c r="A156" s="2"/>
      <x:c r="B156" s="2"/>
      <x:c r="C156" s="2"/>
      <x:c r="D156" s="2"/>
      <x:c r="E156" s="2"/>
      <x:c r="F156" s="2"/>
    </x:row>
    <x:row r="157" ht="24" customHeight="1">
      <x:c r="A157" s="2"/>
      <x:c r="B157" s="2"/>
      <x:c r="C157" s="2"/>
      <x:c r="D157" s="2"/>
      <x:c r="E157" s="2"/>
      <x:c r="F157" s="2"/>
    </x:row>
    <x:row r="158" ht="24" customHeight="1">
      <x:c r="A158" s="2"/>
      <x:c r="B158" s="2"/>
      <x:c r="C158" s="2"/>
      <x:c r="D158" s="2"/>
      <x:c r="E158" s="2"/>
      <x:c r="F158" s="2"/>
    </x:row>
    <x:row r="159" ht="24" customHeight="1">
      <x:c r="A159" s="2"/>
      <x:c r="B159" s="2"/>
      <x:c r="C159" s="2"/>
      <x:c r="D159" s="2"/>
      <x:c r="E159" s="2"/>
      <x:c r="F159" s="2"/>
    </x:row>
    <x:row r="160" ht="24" customHeight="1">
      <x:c r="A160" s="2"/>
      <x:c r="B160" s="2"/>
      <x:c r="C160" s="2"/>
      <x:c r="D160" s="2"/>
      <x:c r="E160" s="2"/>
      <x:c r="F160" s="2"/>
    </x:row>
  </x:sheetData>
  <x:mergeCells>
    <x:mergeCell ref="A1:F1"/>
    <x:mergeCell ref="A2:F3"/>
  </x:mergeCells>
  <x:pageMargins left="0.7" right="0.7" top="0.75" bottom="0.75" header="0.3" footer="0.3"/>
  <x:tableParts count="3">
    <x:tablePart xmlns:r="http://schemas.openxmlformats.org/officeDocument/2006/relationships" r:id="R0f8be57cce1446f9"/>
    <x:tablePart xmlns:r="http://schemas.openxmlformats.org/officeDocument/2006/relationships" r:id="R95399fe6b8c349f8"/>
    <x:tablePart xmlns:r="http://schemas.openxmlformats.org/officeDocument/2006/relationships" r:id="R2de353590688414b"/>
  </x:tableParts>
</x:worksheet>
</file>

<file path=xl/worksheets/sheet5.xml><?xml version="1.0" encoding="utf-8"?>
<x:worksheet xmlns:x="http://schemas.openxmlformats.org/spreadsheetml/2006/main">
  <x:sheetViews>
    <x:sheetView showGridLines="0" workbookViewId="0"/>
  </x:sheetViews>
  <x:sheetFormatPr defaultRowHeight="15"/>
  <x:cols>
    <x:col min="1" max="1" width="20" hidden="0" customWidth="1"/>
    <x:col min="2" max="2" width="20" hidden="0" customWidth="1"/>
    <x:col min="3" max="3" width="46" hidden="0" customWidth="1"/>
    <x:col min="4" max="4" width="48" hidden="0" customWidth="1"/>
    <x:col min="5" max="5" width="48" hidden="0" customWidth="1"/>
    <x:col min="6" max="6" width="54" hidden="0" customWidth="1"/>
    <x:col min="7" max="7" width="45" hidden="0" customWidth="1"/>
    <x:col min="8" max="8" width="30" hidden="0" customWidth="1"/>
  </x:cols>
  <x:sheetData>
    <x:row r="1" ht="38" customHeight="1">
      <x:c r="A1" s="4" t="str">
        <x:v>PHỎNG VẤN GIẢ LẬP · 12 hồ sơ</x:v>
      </x:c>
      <x:c r="B1" s="4"/>
      <x:c r="C1" s="4"/>
      <x:c r="D1" s="4"/>
      <x:c r="E1" s="4"/>
      <x:c r="F1" s="4"/>
      <x:c r="G1" s="4"/>
      <x:c r="H1" s="4"/>
    </x:row>
    <x:row r="2" ht="24" customHeight="1">
      <x:c r="A2" s="6" t="str">
        <x:v>SYN = dữ liệu giả lập. Nhân vật, tình huống, ý kiến và câu trích được tạo cho bài tập, không phải biên bản phỏng vấn người thật. Mã trong ngoặc dùng để đối chiếu với tệp nguồn.</x:v>
      </x:c>
      <x:c r="B2" s="6"/>
      <x:c r="C2" s="6"/>
      <x:c r="D2" s="6"/>
      <x:c r="E2" s="6"/>
      <x:c r="F2" s="6"/>
      <x:c r="G2" s="6"/>
      <x:c r="H2" s="6"/>
    </x:row>
    <x:row r="3" ht="24" customHeight="1">
      <x:c r="A3" s="6"/>
      <x:c r="B3" s="6"/>
      <x:c r="C3" s="6"/>
      <x:c r="D3" s="6"/>
      <x:c r="E3" s="6"/>
      <x:c r="F3" s="6"/>
      <x:c r="G3" s="6"/>
      <x:c r="H3" s="6"/>
    </x:row>
    <x:row r="4" ht="12" customHeight="1">
      <x:c r="A4" s="2"/>
      <x:c r="B4" s="2"/>
      <x:c r="C4" s="2"/>
      <x:c r="D4" s="2"/>
      <x:c r="E4" s="2"/>
      <x:c r="F4" s="2"/>
      <x:c r="G4" s="2"/>
      <x:c r="H4" s="2"/>
    </x:row>
    <x:row r="5" ht="42" customHeight="1">
      <x:c r="A5" s="9" t="str">
        <x:v>Mã giả lập (SYN)</x:v>
      </x:c>
      <x:c r="B5" s="9" t="str">
        <x:v>Ngày giả định</x:v>
      </x:c>
      <x:c r="C5" s="9" t="str">
        <x:v>Vai trò</x:v>
      </x:c>
      <x:c r="D5" s="9" t="str">
        <x:v>Hồ sơ giả định</x:v>
      </x:c>
      <x:c r="E5" s="9" t="str">
        <x:v>Tình huống</x:v>
      </x:c>
      <x:c r="F5" s="9" t="str">
        <x:v>Tóm tắt</x:v>
      </x:c>
      <x:c r="G5" s="9" t="str">
        <x:v>Số ý kiến</x:v>
      </x:c>
      <x:c r="H5" s="9" t="str">
        <x:v>Tệp nguồn</x:v>
      </x:c>
    </x:row>
    <x:row r="6" ht="110" customHeight="1">
      <x:c r="A6" s="11" t="str">
        <x:v>SYN-PV-KH-01</x:v>
      </x:c>
      <x:c r="B6" s="11" t="str">
        <x:v>N4</x:v>
      </x:c>
      <x:c r="C6" s="11" t="str">
        <x:v>Khách mua thường xuyên</x:v>
      </x:c>
      <x:c r="D6" s="11" t="str">
        <x:v>Nhân vật giả định 18–24 tuổi; mua 2–3 lần/tháng bằng điện thoại, ngân sách thường 300.000–499.000đ.</x:v>
      </x:c>
      <x:c r="E6" s="11" t="str">
        <x:v>Tìm áo thun đen cỡ M, so sánh số đo, thử mã giảm giá rồi đặt đơn trả khi nhận hàng từ một kho.</x:v>
      </x:c>
      <x:c r="F6" s="11" t="str">
        <x:v>Cần mô tả rõ từng cỡ, màu và cách tính giá. Gợi ý số tiền cần mua thêm để dùng mã giảm giá mới là đề xuất, chưa khẳng định đã có.</x:v>
      </x:c>
      <x:c r="G6" s="11" t="n">
        <x:v>4</x:v>
      </x:c>
      <x:c r="H6" s="11" t="str">
        <x:v>qualitative.json / interviews</x:v>
      </x:c>
    </x:row>
    <x:row r="7" ht="110" customHeight="1">
      <x:c r="A7" s="12" t="str">
        <x:v>SYN-PV-KH-02</x:v>
      </x:c>
      <x:c r="B7" s="12" t="str">
        <x:v>N4</x:v>
      </x:c>
      <x:c r="C7" s="12" t="str">
        <x:v>Khách mua thường xuyên</x:v>
      </x:c>
      <x:c r="D7" s="12" t="str">
        <x:v>Nhân vật giả định 25–34 tuổi; mua từ hai lần/tháng, quen COD, thường mua cả bộ.</x:v>
      </x:c>
      <x:c r="E7" s="12" t="str">
        <x:v>Đặt áo và quần từ hai kho; một kiện đã giao, kiện còn lại đang vận chuyển.</x:v>
      </x:c>
      <x:c r="F7" s="12" t="str">
        <x:v>Hệ thống đã hỗ trợ theo dõi từng kiện. Việc ghi số tiền trả khi nhận hàng riêng cho từng kiện là phần đề xuất thêm.</x:v>
      </x:c>
      <x:c r="G7" s="12" t="n">
        <x:v>4</x:v>
      </x:c>
      <x:c r="H7" s="12" t="str">
        <x:v>qualitative.json / interviews</x:v>
      </x:c>
    </x:row>
    <x:row r="8" ht="110" customHeight="1">
      <x:c r="A8" s="11" t="str">
        <x:v>SYN-PV-KH-03</x:v>
      </x:c>
      <x:c r="B8" s="11" t="str">
        <x:v>N5</x:v>
      </x:c>
      <x:c r="C8" s="11" t="str">
        <x:v>Khách mua thường xuyên</x:v>
      </x:c>
      <x:c r="D8" s="11" t="str">
        <x:v>Nhân vật giả định 25–34 tuổi; mua hằng tuần, ưu tiên tài khoản và thanh toán trước mô phỏng.</x:v>
      </x:c>
      <x:c r="E8" s="11" t="str">
        <x:v>Đăng nhập, chọn địa chỉ đã lưu, xem hàng yêu thích và tìm lại một sản phẩm từng mua.</x:v>
      </x:c>
      <x:c r="F8" s="11" t="str">
        <x:v>Tài khoản giúp lưu địa chỉ và lịch sử mua. Chức năng mua lại bằng một nút bấm chưa được xác nhận đã có.</x:v>
      </x:c>
      <x:c r="G8" s="11" t="n">
        <x:v>4</x:v>
      </x:c>
      <x:c r="H8" s="11" t="str">
        <x:v>qualitative.json / interviews</x:v>
      </x:c>
    </x:row>
    <x:row r="9" ht="110" customHeight="1">
      <x:c r="A9" s="12" t="str">
        <x:v>SYN-PV-KH-04</x:v>
      </x:c>
      <x:c r="B9" s="12" t="str">
        <x:v>N5</x:v>
      </x:c>
      <x:c r="C9" s="12" t="str">
        <x:v>Khách mua tần suất trung bình</x:v>
      </x:c>
      <x:c r="D9" s="12" t="str">
        <x:v>Nhân vật giả định 25–34 tuổi; khoảng một đơn/tháng, thường mua guest.</x:v>
      </x:c>
      <x:c r="E9" s="12" t="str">
        <x:v>Giỏ có hai mã hàng. Thử mã SYN-GIAM50 với tiền hàng chưa đủ 500.000đ, sau đó thêm hàng để đạt mức yêu cầu.</x:v>
      </x:c>
      <x:c r="F9" s="12" t="str">
        <x:v>Cần cho biết rõ tổng tiền và cho phép mua không tài khoản. Cách viết thông báo và giữ dữ liệu đã nhập cần được kiểm tra với người dùng.</x:v>
      </x:c>
      <x:c r="G9" s="12" t="n">
        <x:v>4</x:v>
      </x:c>
      <x:c r="H9" s="12" t="str">
        <x:v>qualitative.json / interviews</x:v>
      </x:c>
    </x:row>
    <x:row r="10" ht="110" customHeight="1">
      <x:c r="A10" s="11" t="str">
        <x:v>SYN-PV-KH-05</x:v>
      </x:c>
      <x:c r="B10" s="11" t="str">
        <x:v>N5</x:v>
      </x:c>
      <x:c r="C10" s="11" t="str">
        <x:v>Khách mua tần suất trung bình</x:v>
      </x:c>
      <x:c r="D10" s="11" t="str">
        <x:v>Nhân vật giả định 35–44 tuổi; mua mỗi tháng, thận trọng với thanh toán trước.</x:v>
      </x:c>
      <x:c r="E10" s="11" t="str">
        <x:v>Tạo tài khoản thử, dùng chức năng quên mật khẩu và xem thanh toán trực tuyến giả lập cho một đơn mua không tài khoản.</x:v>
      </x:c>
      <x:c r="F10" s="11" t="str">
        <x:v>Các ý kiến trong biên bản là giả định. Lỗi KD-GUEST-01 được phát hiện khi đọc mã nguồn, không phải khi phỏng vấn người thật.</x:v>
      </x:c>
      <x:c r="G10" s="11" t="n">
        <x:v>4</x:v>
      </x:c>
      <x:c r="H10" s="11" t="str">
        <x:v>qualitative.json / interviews</x:v>
      </x:c>
    </x:row>
    <x:row r="11" ht="110" customHeight="1">
      <x:c r="A11" s="12" t="str">
        <x:v>SYN-PV-KH-06</x:v>
      </x:c>
      <x:c r="B11" s="12" t="str">
        <x:v>N6</x:v>
      </x:c>
      <x:c r="C11" s="12" t="str">
        <x:v>Khách mua tần suất trung bình</x:v>
      </x:c>
      <x:c r="D11" s="12" t="str">
        <x:v>Nhân vật giả định 18–24 tuổi; khoảng một đơn/tháng, ngân sách dưới 500.000đ, thường dùng màn hình nhỏ.</x:v>
      </x:c>
      <x:c r="E11" s="12" t="str">
        <x:v>Lọc quần theo giá, đổi màu và cỡ, kiểm tra tổng tiền trên màn hình rộng 360 px.</x:v>
      </x:c>
      <x:c r="F11" s="12" t="str">
        <x:v>Cần kiểm tra tính dễ dùng trên điện thoại. Tình huống giả lập không chứng minh website đã đạt yêu cầu hỗ trợ tiếp cận hoặc người dùng đã thao tác thành công.</x:v>
      </x:c>
      <x:c r="G11" s="12" t="n">
        <x:v>4</x:v>
      </x:c>
      <x:c r="H11" s="12" t="str">
        <x:v>qualitative.json / interviews</x:v>
      </x:c>
    </x:row>
    <x:row r="12" ht="110" customHeight="1">
      <x:c r="A12" s="11" t="str">
        <x:v>SYN-PV-KH-07</x:v>
      </x:c>
      <x:c r="B12" s="11" t="str">
        <x:v>N6</x:v>
      </x:c>
      <x:c r="C12" s="11" t="str">
        <x:v>Khách mua ít/từng bỏ mua</x:v>
      </x:c>
      <x:c r="D12" s="11" t="str">
        <x:v>Nhân vật giả định 35–44 tuổi; một đơn mỗi 2–3 tháng, từng lo ngại đổi size.</x:v>
      </x:c>
      <x:c r="E12" s="11" t="str">
        <x:v>Đọc điều kiện đổi trả, sau đó xem tình huống đơn trả khi nhận hàng đã xuất kho và bị trả về toàn bộ.</x:v>
      </x:c>
      <x:c r="F12" s="11" t="str">
        <x:v>Các ý kiến về đổi trả là giả lập. Hồ sơ đổi trả, kiểm tra hàng hoàn và yêu cầu hoàn tiền do khách tự gửi chưa thuộc phạm vi hiện tại.</x:v>
      </x:c>
      <x:c r="G12" s="11" t="n">
        <x:v>4</x:v>
      </x:c>
      <x:c r="H12" s="11" t="str">
        <x:v>qualitative.json / interviews</x:v>
      </x:c>
    </x:row>
    <x:row r="13" ht="110" customHeight="1">
      <x:c r="A13" s="12" t="str">
        <x:v>SYN-PV-KH-08</x:v>
      </x:c>
      <x:c r="B13" s="12" t="str">
        <x:v>N6</x:v>
      </x:c>
      <x:c r="C13" s="12" t="str">
        <x:v>Khách mua ít/từng bỏ mua</x:v>
      </x:c>
      <x:c r="D13" s="12" t="str">
        <x:v>Nhân vật giả định 25–34 tuổi; mua ít hơn mỗi tháng, từng dừng khi kết nối không ổn định.</x:v>
      </x:c>
      <x:c r="E13" s="12" t="str">
        <x:v>Gửi lại yêu cầu đặt hàng sau khi chờ quá lâu trong tình huống giả lập; xem lý do một kiện giao thất bại.</x:v>
      </x:c>
      <x:c r="F13" s="12" t="str">
        <x:v>Hệ thống cần chống tạo đơn trùng và chỉ cho người có quyền xem đơn. Đây không phải ghi nhận lỗi mạng hay giao hàng ngoài thực tế.</x:v>
      </x:c>
      <x:c r="G13" s="12" t="n">
        <x:v>4</x:v>
      </x:c>
      <x:c r="H13" s="12" t="str">
        <x:v>qualitative.json / interviews</x:v>
      </x:c>
    </x:row>
    <x:row r="14" ht="110" customHeight="1">
      <x:c r="A14" s="11" t="str">
        <x:v>SYN-PV-VH-01</x:v>
      </x:c>
      <x:c r="B14" s="11" t="str">
        <x:v>N4</x:v>
      </x:c>
      <x:c r="C14" s="11" t="str">
        <x:v>Quản lý cửa hàng giả định</x:v>
      </x:c>
      <x:c r="D14" s="11" t="str">
        <x:v>Vai trò vận hành mô phỏng do PM dùng để khai thác yêu cầu; không đại diện doanh nghiệp cụ thể.</x:v>
      </x:c>
      <x:c r="E14" s="11" t="str">
        <x:v>Xem bảng tổng quan, sáu nhóm khách hàng và gợi ý của trợ lý về hàng sắp hết để cân nhắc khuyến mãi.</x:v>
      </x:c>
      <x:c r="F14" s="11" t="str">
        <x:v>Trợ lý chỉ gợi ý, không tự sửa dữ liệu. Quản lý sản phẩm vẫn còn thiếu một số thao tác như sửa và ngừng bán.</x:v>
      </x:c>
      <x:c r="G14" s="11" t="n">
        <x:v>4</x:v>
      </x:c>
      <x:c r="H14" s="11" t="str">
        <x:v>qualitative.json / interviews</x:v>
      </x:c>
    </x:row>
    <x:row r="15" ht="110" customHeight="1">
      <x:c r="A15" s="12" t="str">
        <x:v>SYN-PV-VH-02</x:v>
      </x:c>
      <x:c r="B15" s="12" t="str">
        <x:v>N5</x:v>
      </x:c>
      <x:c r="C15" s="12" t="str">
        <x:v>Nhân viên kho giả định</x:v>
      </x:c>
      <x:c r="D15" s="12" t="str">
        <x:v>Vai trò vận hành mô phỏng khảo sát bởi Backend 2; thao tác bằng hồ sơ và số dư giả lập.</x:v>
      </x:c>
      <x:c r="E15" s="12" t="str">
        <x:v>Nhập hàng, chuyển một mã hàng giữa hai kho, kiểm kê và đối chiếu hàng giữ cho một đơn lấy từ nhiều kho.</x:v>
      </x:c>
      <x:c r="F15" s="12" t="str">
        <x:v>Tồn thực tế không được thấp hơn hàng đã giữ cho đơn. Các bước ghi chứng từ phải cùng thành công hoặc cùng hủy. Chưa có bước phê duyệt; việc xử lý hết hạn còn hai lỗi đã biết.</x:v>
      </x:c>
      <x:c r="G15" s="12" t="n">
        <x:v>4</x:v>
      </x:c>
      <x:c r="H15" s="12" t="str">
        <x:v>qualitative.json / interviews</x:v>
      </x:c>
    </x:row>
    <x:row r="16" ht="110" customHeight="1">
      <x:c r="A16" s="11" t="str">
        <x:v>SYN-PV-VH-03</x:v>
      </x:c>
      <x:c r="B16" s="11" t="str">
        <x:v>N6</x:v>
      </x:c>
      <x:c r="C16" s="11" t="str">
        <x:v>Nhân viên xử lý đơn/CS giả định</x:v>
      </x:c>
      <x:c r="D16" s="11" t="str">
        <x:v>Vai trò vận hành mô phỏng khảo sát bởi Backend 1/2; không có nhà vận chuyển thực tham gia.</x:v>
      </x:c>
      <x:c r="E16" s="11" t="str">
        <x:v>Nhập hãng giao và mã vận đơn giả, bàn giao kiện, ghi nhận giao thất bại rồi nhận hàng trả về.</x:v>
      </x:c>
      <x:c r="F16" s="11" t="str">
        <x:v>Tên hãng giao và mã vận đơn được nhập tay, chưa kết nối hãng thật. Một đơn vừa có kiện giao thành công vừa có kiện trả về chưa được hỗ trợ đầy đủ.</x:v>
      </x:c>
      <x:c r="G16" s="11" t="n">
        <x:v>4</x:v>
      </x:c>
      <x:c r="H16" s="11" t="str">
        <x:v>qualitative.json / interviews</x:v>
      </x:c>
    </x:row>
    <x:row r="17" ht="110" customHeight="1">
      <x:c r="A17" s="12" t="str">
        <x:v>SYN-PV-VH-04</x:v>
      </x:c>
      <x:c r="B17" s="12" t="str">
        <x:v>N7</x:v>
      </x:c>
      <x:c r="C17" s="12" t="str">
        <x:v>Người phụ trách thanh toán giả định</x:v>
      </x:c>
      <x:c r="D17" s="12" t="str">
        <x:v>Vai trò vận hành mô phỏng khảo sát bởi Backend 1; tất cả payment là giả lập, không thu tiền thật.</x:v>
      </x:c>
      <x:c r="E17" s="12" t="str">
        <x:v>Đối chiếu đơn và thanh toán; xem thông báo bị gửi trùng hoặc đến muộn, đơn trả khi nhận hàng có hai kiện và một khoản hoàn tiền giả lập.</x:v>
      </x:c>
      <x:c r="F17" s="12" t="str">
        <x:v>Không có thu tiền, hoàn tiền hay đối soát thật. Cách xử lý thông báo thanh toán thành công đến muộn mới là đề xuất, chưa được mã nguồn bảo đảm.</x:v>
      </x:c>
      <x:c r="G17" s="12" t="n">
        <x:v>4</x:v>
      </x:c>
      <x:c r="H17" s="12" t="str">
        <x:v>qualitative.json / interviews</x:v>
      </x:c>
    </x:row>
    <x:row r="18" ht="24" customHeight="1">
      <x:c r="A18" s="2"/>
      <x:c r="B18" s="2"/>
      <x:c r="C18" s="2"/>
      <x:c r="D18" s="2"/>
      <x:c r="E18" s="2"/>
      <x:c r="F18" s="2"/>
      <x:c r="G18" s="2"/>
      <x:c r="H18" s="2"/>
    </x:row>
    <x:row r="19" ht="24" customHeight="1">
      <x:c r="A19" s="2"/>
      <x:c r="B19" s="2"/>
      <x:c r="C19" s="2"/>
      <x:c r="D19" s="2"/>
      <x:c r="E19" s="2"/>
      <x:c r="F19" s="2"/>
      <x:c r="G19" s="2"/>
      <x:c r="H19" s="2"/>
    </x:row>
    <x:row r="20" ht="24" customHeight="1">
      <x:c r="A20" s="2"/>
      <x:c r="B20" s="2"/>
      <x:c r="C20" s="2"/>
      <x:c r="D20" s="2"/>
      <x:c r="E20" s="2"/>
      <x:c r="F20" s="2"/>
      <x:c r="G20" s="2"/>
      <x:c r="H20" s="2"/>
    </x:row>
    <x:row r="21" ht="42" customHeight="1">
      <x:c r="A21" s="9" t="str">
        <x:v>Mã phỏng vấn</x:v>
      </x:c>
      <x:c r="B21" s="9" t="str">
        <x:v>Mã ý kiến gốc</x:v>
      </x:c>
      <x:c r="C21" s="9" t="str">
        <x:v>Nội dung giả định</x:v>
      </x:c>
      <x:c r="D21" s="9" t="str">
        <x:v>Câu nói minh họa</x:v>
      </x:c>
      <x:c r="E21" s="9" t="str">
        <x:v>Mức ưu tiên</x:v>
      </x:c>
      <x:c r="F21" s="9" t="str">
        <x:v>Yêu cầu liên quan</x:v>
      </x:c>
      <x:c r="G21" s="9" t="str">
        <x:v>So với hệ thống hiện tại</x:v>
      </x:c>
      <x:c r="H21" s="9" t="str">
        <x:v>Nhãn dữ liệu</x:v>
      </x:c>
    </x:row>
    <x:row r="22" ht="95" customHeight="1">
      <x:c r="A22" s="11" t="str">
        <x:v>SYN-PV-KH-01</x:v>
      </x:c>
      <x:c r="B22" s="11" t="str">
        <x:v>SYN-PV-KH-01-F1</x:v>
      </x:c>
      <x:c r="C22" s="11" t="str">
        <x:v>Chỉ ghi cỡ M chưa đủ để chọn mua; cần đặt số đo, chất liệu và dáng áo gần chỗ chọn cỡ, màu.</x:v>
      </x:c>
      <x:c r="D22" s="11" t="str">
        <x:v>Lời giả định SYN: “Tôi muốn xem số đo áo ngay khi chọn cỡ, vì chữ M mỗi mẫu có thể khác nhau.”</x:v>
      </x:c>
      <x:c r="E22" s="11" t="str">
        <x:v>Bắt buộc
(Must)</x:v>
      </x:c>
      <x:c r="F22" s="11" t="str">
        <x:v>P1-FR-02</x:v>
      </x:c>
      <x:c r="G22" s="11" t="str">
        <x:v>Đã được mô tả hoặc có trong hệ thống; chưa có người dùng nghiệm thu
(CURRENT)</x:v>
      </x:c>
      <x:c r="H22" s="11" t="str">
        <x:v>SYN — không phải lời người thật</x:v>
      </x:c>
    </x:row>
    <x:row r="23" ht="95" customHeight="1">
      <x:c r="A23" s="12" t="str">
        <x:v>SYN-PV-KH-01</x:v>
      </x:c>
      <x:c r="B23" s="12" t="str">
        <x:v>SYN-PV-KH-01-F2</x:v>
      </x:c>
      <x:c r="C23" s="12" t="str">
        <x:v>Cần báo hết hàng theo đúng cỡ và màu đã chọn, không chỉ báo chung cho cả sản phẩm.</x:v>
      </x:c>
      <x:c r="D23" s="12" t="str">
        <x:v>Lời giả định SYN: “Nếu màu đen hết cỡ M thì hãy báo ở đúng ô đó, đừng chỉ ghi sản phẩm còn hàng.”</x:v>
      </x:c>
      <x:c r="E23" s="12" t="str">
        <x:v>Bắt buộc
(Must)</x:v>
      </x:c>
      <x:c r="F23" s="12" t="str">
        <x:v>P1-FR-02, P1-FR-12</x:v>
      </x:c>
      <x:c r="G23" s="12" t="str">
        <x:v>Đã được mô tả hoặc có trong hệ thống; chưa có người dùng nghiệm thu
(CURRENT)</x:v>
      </x:c>
      <x:c r="H23" s="12" t="str">
        <x:v>SYN — không phải lời người thật</x:v>
      </x:c>
    </x:row>
    <x:row r="24" ht="95" customHeight="1">
      <x:c r="A24" s="11" t="str">
        <x:v>SYN-PV-KH-01</x:v>
      </x:c>
      <x:c r="B24" s="11" t="str">
        <x:v>SYN-PV-KH-01-F3</x:v>
      </x:c>
      <x:c r="C24" s="11" t="str">
        <x:v>Bộ lọc giá, loại hàng và sắp xếp giúp tìm nhanh. Khi không có kết quả, cần cho biết những điều kiện đang lọc.</x:v>
      </x:c>
      <x:c r="D24" s="11" t="str">
        <x:v>Lời giả định SYN: “Tôi cần thấy mình đang lọc gì để bỏ bớt điều kiện khi không tìm thấy áo.”</x:v>
      </x:c>
      <x:c r="E24" s="11" t="str">
        <x:v>Bắt buộc
(Must)</x:v>
      </x:c>
      <x:c r="F24" s="11" t="str">
        <x:v>P1-FR-01</x:v>
      </x:c>
      <x:c r="G24" s="11" t="str">
        <x:v>Đã được mô tả hoặc có trong hệ thống; chưa có người dùng nghiệm thu
(CURRENT)</x:v>
      </x:c>
      <x:c r="H24" s="11" t="str">
        <x:v>SYN — không phải lời người thật</x:v>
      </x:c>
    </x:row>
    <x:row r="25" ht="95" customHeight="1">
      <x:c r="A25" s="12" t="str">
        <x:v>SYN-PV-KH-01</x:v>
      </x:c>
      <x:c r="B25" s="12" t="str">
        <x:v>SYN-PV-KH-01-F4</x:v>
      </x:c>
      <x:c r="C25" s="12" t="str">
        <x:v>Cần phân biệt giá niêm yết với giá sau giảm. Khi chưa đủ điều kiện dùng mã, nên cho biết cần mua thêm bao nhiêu.</x:v>
      </x:c>
      <x:c r="D25" s="12" t="str">
        <x:v>Lời giả định SYN: “Mã chưa đủ mức mua thì hãy cho biết còn thiếu bao nhiêu, đừng chỉ ghi không dùng được.”</x:v>
      </x:c>
      <x:c r="E25" s="12" t="str">
        <x:v>Bắt buộc
(Must)</x:v>
      </x:c>
      <x:c r="F25" s="12" t="str">
        <x:v>P1-FR-05, P1-FR-06</x:v>
      </x:c>
      <x:c r="G25" s="12" t="str">
        <x:v>Đề xuất thêm; chưa xác nhận đã có
(PROPOSED)</x:v>
      </x:c>
      <x:c r="H25" s="12" t="str">
        <x:v>SYN — không phải lời người thật</x:v>
      </x:c>
    </x:row>
    <x:row r="26" ht="95" customHeight="1">
      <x:c r="A26" s="11" t="str">
        <x:v>SYN-PV-KH-02</x:v>
      </x:c>
      <x:c r="B26" s="11" t="str">
        <x:v>SYN-PV-KH-02-F1</x:v>
      </x:c>
      <x:c r="C26" s="11" t="str">
        <x:v>Cần hiển thị hàng trong từng kiện và trạng thái riêng để khách không tưởng đơn bị thiếu hàng.</x:v>
      </x:c>
      <x:c r="D26" s="11" t="str">
        <x:v>Lời giả định SYN: “Tôi đã nhận áo nhưng chưa có quần; trang đơn cần cho biết quần thuộc kiện nào.”</x:v>
      </x:c>
      <x:c r="E26" s="11" t="str">
        <x:v>Bắt buộc
(Must)</x:v>
      </x:c>
      <x:c r="F26" s="11" t="str">
        <x:v>P1-FR-10, P1-FR-17, P1-FR-18</x:v>
      </x:c>
      <x:c r="G26" s="11" t="str">
        <x:v>Đã được mô tả hoặc có trong hệ thống; chưa có người dùng nghiệm thu
(CURRENT)</x:v>
      </x:c>
      <x:c r="H26" s="11" t="str">
        <x:v>SYN — không phải lời người thật</x:v>
      </x:c>
    </x:row>
    <x:row r="27" ht="95" customHeight="1">
      <x:c r="A27" s="12" t="str">
        <x:v>SYN-PV-KH-02</x:v>
      </x:c>
      <x:c r="B27" s="12" t="str">
        <x:v>SYN-PV-KH-02-F2</x:v>
      </x:c>
      <x:c r="C27" s="12" t="str">
        <x:v>Một kiện đã giao không có nghĩa cả đơn đã giao đủ; cần phân biệt hai trạng thái này.</x:v>
      </x:c>
      <x:c r="D27" s="12" t="str">
        <x:v>Lời giả định SYN: “Nhận một kiện chưa có nghĩa tôi đã nhận đủ đơn.”</x:v>
      </x:c>
      <x:c r="E27" s="12" t="str">
        <x:v>Bắt buộc
(Must)</x:v>
      </x:c>
      <x:c r="F27" s="12" t="str">
        <x:v>P1-FR-17, P1-FR-18</x:v>
      </x:c>
      <x:c r="G27" s="12" t="str">
        <x:v>Đã được mô tả hoặc có trong hệ thống; chưa có người dùng nghiệm thu
(CURRENT)</x:v>
      </x:c>
      <x:c r="H27" s="12" t="str">
        <x:v>SYN — không phải lời người thật</x:v>
      </x:c>
    </x:row>
    <x:row r="28" ht="95" customHeight="1">
      <x:c r="A28" s="11" t="str">
        <x:v>SYN-PV-KH-02</x:v>
      </x:c>
      <x:c r="B28" s="11" t="str">
        <x:v>SYN-PV-KH-02-F3</x:v>
      </x:c>
      <x:c r="C28" s="11" t="str">
        <x:v>Chỉ khi mọi kiện đã giao, hệ thống mới ghi nhận đơn trả khi nhận hàng là đã thanh toán. Chưa có sổ ghi số thu riêng cho từng kiện.</x:v>
      </x:c>
      <x:c r="D28" s="11" t="str">
        <x:v>Lời giả định SYN: “Nếu giao hai lần thì ai thu bao nhiêu ở mỗi lần? Tôi muốn biết trước khi nhận.”</x:v>
      </x:c>
      <x:c r="E28" s="11" t="str">
        <x:v>Bắt buộc
(Must)</x:v>
      </x:c>
      <x:c r="F28" s="11" t="str">
        <x:v>P1-FR-08, P1-FR-18, P1-FR-23</x:v>
      </x:c>
      <x:c r="G28" s="11" t="str">
        <x:v>Đề xuất thêm; chưa xác nhận đã có
(PROPOSED)</x:v>
      </x:c>
      <x:c r="H28" s="11" t="str">
        <x:v>SYN — không phải lời người thật</x:v>
      </x:c>
    </x:row>
    <x:row r="29" ht="95" customHeight="1">
      <x:c r="A29" s="12" t="str">
        <x:v>SYN-PV-KH-02</x:v>
      </x:c>
      <x:c r="B29" s="12" t="str">
        <x:v>SYN-PV-KH-02-F4</x:v>
      </x:c>
      <x:c r="C29" s="12" t="str">
        <x:v>Khi chia đơn cho nhiều kho, cần giữ tổng tiền đã chốt và giải thích rõ chính sách phí giao.</x:v>
      </x:c>
      <x:c r="D29" s="12" t="str">
        <x:v>Lời giả định SYN: “cửa hàng chia hai kho thì đừng làm tổng tiền đã chốt tự tăng lên.”</x:v>
      </x:c>
      <x:c r="E29" s="12" t="str">
        <x:v>Bắt buộc
(Must)</x:v>
      </x:c>
      <x:c r="F29" s="12" t="str">
        <x:v>P1-FR-05, P1-FR-07</x:v>
      </x:c>
      <x:c r="G29" s="12" t="str">
        <x:v>Đã được mô tả hoặc có trong hệ thống; chưa có người dùng nghiệm thu
(CURRENT)</x:v>
      </x:c>
      <x:c r="H29" s="12" t="str">
        <x:v>SYN — không phải lời người thật</x:v>
      </x:c>
    </x:row>
    <x:row r="30" ht="95" customHeight="1">
      <x:c r="A30" s="11" t="str">
        <x:v>SYN-PV-KH-03</x:v>
      </x:c>
      <x:c r="B30" s="11" t="str">
        <x:v>SYN-PV-KH-03-F1</x:v>
      </x:c>
      <x:c r="C30" s="11" t="str">
        <x:v>Lời mời đăng ký nên nêu lợi ích cụ thể: lưu địa chỉ, danh sách yêu thích và lịch sử mua.</x:v>
      </x:c>
      <x:c r="D30" s="11" t="str">
        <x:v>Lời giả định SYN: “Tôi đăng ký để khỏi nhập lại địa chỉ và xem các đơn trước, không chỉ để nhận quảng cáo.”</x:v>
      </x:c>
      <x:c r="E30" s="11" t="str">
        <x:v>Nên có
(Should)</x:v>
      </x:c>
      <x:c r="F30" s="11" t="str">
        <x:v>P1-FR-03, P1-FR-04</x:v>
      </x:c>
      <x:c r="G30" s="11" t="str">
        <x:v>Đã được mô tả hoặc có trong hệ thống; chưa có người dùng nghiệm thu
(CURRENT)</x:v>
      </x:c>
      <x:c r="H30" s="11" t="str">
        <x:v>SYN — không phải lời người thật</x:v>
      </x:c>
    </x:row>
    <x:row r="31" ht="95" customHeight="1">
      <x:c r="A31" s="12" t="str">
        <x:v>SYN-PV-KH-03</x:v>
      </x:c>
      <x:c r="B31" s="12" t="str">
        <x:v>SYN-PV-KH-03-F2</x:v>
      </x:c>
      <x:c r="C31" s="12" t="str">
        <x:v>Chỉ chủ tài khoản hoặc người có quyền mới được xem dữ liệu. Đăng xuất xong không được để người sau thấy đơn cũ.</x:v>
      </x:c>
      <x:c r="D31" s="12" t="str">
        <x:v>Lời giả định SYN: “Khi tôi đăng xuất, người tiếp theo dùng máy không được xem đơn của tôi.”</x:v>
      </x:c>
      <x:c r="E31" s="12" t="str">
        <x:v>Bắt buộc
(Must)</x:v>
      </x:c>
      <x:c r="F31" s="12" t="str">
        <x:v>P1-FR-03, P1-FR-04, P1-FR-10</x:v>
      </x:c>
      <x:c r="G31" s="12" t="str">
        <x:v>Đã được mô tả hoặc có trong hệ thống; chưa có người dùng nghiệm thu
(CURRENT)</x:v>
      </x:c>
      <x:c r="H31" s="12" t="str">
        <x:v>SYN — không phải lời người thật</x:v>
      </x:c>
    </x:row>
    <x:row r="32" ht="95" customHeight="1">
      <x:c r="A32" s="11" t="str">
        <x:v>SYN-PV-KH-03</x:v>
      </x:c>
      <x:c r="B32" s="11" t="str">
        <x:v>SYN-PV-KH-03-F3</x:v>
      </x:c>
      <x:c r="C32" s="11" t="str">
        <x:v>Khách cần kiểm tra địa chỉ trước khi đặt. Sửa sổ địa chỉ sau đó không được thay địa chỉ đã lưu trong đơn cũ.</x:v>
      </x:c>
      <x:c r="D32" s="11" t="str">
        <x:v>Lời giả định SYN: “Tôi sửa sổ địa chỉ sau khi mua thì đơn cũ vẫn phải giữ nơi giao đã chốt.”</x:v>
      </x:c>
      <x:c r="E32" s="11" t="str">
        <x:v>Bắt buộc
(Must)</x:v>
      </x:c>
      <x:c r="F32" s="11" t="str">
        <x:v>P1-FR-04, P1-FR-07</x:v>
      </x:c>
      <x:c r="G32" s="11" t="str">
        <x:v>Đã được mô tả hoặc có trong hệ thống; chưa có người dùng nghiệm thu
(CURRENT)</x:v>
      </x:c>
      <x:c r="H32" s="11" t="str">
        <x:v>SYN — không phải lời người thật</x:v>
      </x:c>
    </x:row>
    <x:row r="33" ht="95" customHeight="1">
      <x:c r="A33" s="12" t="str">
        <x:v>SYN-PV-KH-03</x:v>
      </x:c>
      <x:c r="B33" s="12" t="str">
        <x:v>SYN-PV-KH-03-F4</x:v>
      </x:c>
      <x:c r="C33" s="12" t="str">
        <x:v>Khách muốn có nút mua lại, nhưng giá và tồn phải được kiểm tra lại. Chưa xác nhận hệ thống có nút mua lại một chạm.</x:v>
      </x:c>
      <x:c r="D33" s="12" t="str">
        <x:v>Lời giả định SYN: “Nếu mua lại, hãy báo giá và cỡ còn hiện tại, đừng tự chép giá của đơn cũ.”</x:v>
      </x:c>
      <x:c r="E33" s="12" t="str">
        <x:v>Nên có
(Should)</x:v>
      </x:c>
      <x:c r="F33" s="12" t="str">
        <x:v>P1-FR-01, P1-FR-04, P1-FR-05</x:v>
      </x:c>
      <x:c r="G33" s="12" t="str">
        <x:v>Đề xuất thêm; chưa xác nhận đã có
(PROPOSED)</x:v>
      </x:c>
      <x:c r="H33" s="12" t="str">
        <x:v>SYN — không phải lời người thật</x:v>
      </x:c>
    </x:row>
    <x:row r="34" ht="95" customHeight="1">
      <x:c r="A34" s="11" t="str">
        <x:v>SYN-PV-KH-04</x:v>
      </x:c>
      <x:c r="B34" s="11" t="str">
        <x:v>SYN-PV-KH-04-F1</x:v>
      </x:c>
      <x:c r="C34" s="11" t="str">
        <x:v>Cần đặt tiền hàng, giảm giá và phí giao cạnh nhau trước nút đặt hàng để dễ kiểm tra tổng tiền.</x:v>
      </x:c>
      <x:c r="D34" s="11" t="str">
        <x:v>Lời giả định SYN: “Tôi cần biết số phải trả, không muốn tự cộng tiền hàng rồi đoán phí giao hàng.”</x:v>
      </x:c>
      <x:c r="E34" s="11" t="str">
        <x:v>Bắt buộc
(Must)</x:v>
      </x:c>
      <x:c r="F34" s="11" t="str">
        <x:v>P1-FR-05, P1-FR-06, P1-FR-07</x:v>
      </x:c>
      <x:c r="G34" s="11" t="str">
        <x:v>Đã được mô tả hoặc có trong hệ thống; chưa có người dùng nghiệm thu
(CURRENT)</x:v>
      </x:c>
      <x:c r="H34" s="11" t="str">
        <x:v>SYN — không phải lời người thật</x:v>
      </x:c>
    </x:row>
    <x:row r="35" ht="95" customHeight="1">
      <x:c r="A35" s="12" t="str">
        <x:v>SYN-PV-KH-04</x:v>
      </x:c>
      <x:c r="B35" s="12" t="str">
        <x:v>SYN-PV-KH-04-F2</x:v>
      </x:c>
      <x:c r="C35" s="12" t="str">
        <x:v>Khi khách bỏ bớt hàng, tổng tiền phải tính lại và báo nếu mã giảm giá không còn hợp lệ.</x:v>
      </x:c>
      <x:c r="D35" s="12" t="str">
        <x:v>Lời giả định SYN: “Tôi bỏ bớt hàng thì đừng giữ mức giảm cũ nếu đơn không còn đủ điều kiện.”</x:v>
      </x:c>
      <x:c r="E35" s="12" t="str">
        <x:v>Bắt buộc
(Must)</x:v>
      </x:c>
      <x:c r="F35" s="12" t="str">
        <x:v>P1-FR-05, P1-FR-06</x:v>
      </x:c>
      <x:c r="G35" s="12" t="str">
        <x:v>Đã được mô tả hoặc có trong hệ thống; chưa có người dùng nghiệm thu
(CURRENT)</x:v>
      </x:c>
      <x:c r="H35" s="12" t="str">
        <x:v>SYN — không phải lời người thật</x:v>
      </x:c>
    </x:row>
    <x:row r="36" ht="95" customHeight="1">
      <x:c r="A36" s="11" t="str">
        <x:v>SYN-PV-KH-04</x:v>
      </x:c>
      <x:c r="B36" s="11" t="str">
        <x:v>SYN-PV-KH-04-F3</x:v>
      </x:c>
      <x:c r="C36" s="11" t="str">
        <x:v>Khách muốn mua trước rồi mới quyết định tạo tài khoản; vẫn cần cách tra cứu đơn an toàn.</x:v>
      </x:c>
      <x:c r="D36" s="11" t="str">
        <x:v>Lời giả định SYN: “Lần đầu tôi muốn mua thử, nhưng vẫn cần đường xem lại đơn của mình.”</x:v>
      </x:c>
      <x:c r="E36" s="11" t="str">
        <x:v>Bắt buộc
(Must)</x:v>
      </x:c>
      <x:c r="F36" s="11" t="str">
        <x:v>P1-FR-07, P1-FR-10</x:v>
      </x:c>
      <x:c r="G36" s="11" t="str">
        <x:v>Đã được mô tả hoặc có trong hệ thống; chưa có người dùng nghiệm thu
(CURRENT)</x:v>
      </x:c>
      <x:c r="H36" s="11" t="str">
        <x:v>SYN — không phải lời người thật</x:v>
      </x:c>
    </x:row>
    <x:row r="37" ht="95" customHeight="1">
      <x:c r="A37" s="12" t="str">
        <x:v>SYN-PV-KH-04</x:v>
      </x:c>
      <x:c r="B37" s="12" t="str">
        <x:v>SYN-PV-KH-04-F4</x:v>
      </x:c>
      <x:c r="C37" s="12" t="str">
        <x:v>Thông báo lỗi cần chỉ rõ ô phải sửa và giữ các dữ liệu đúng, tránh bắt khách nhập lại tất cả.</x:v>
      </x:c>
      <x:c r="D37" s="12" t="str">
        <x:v>Lời giả định SYN: “Sai số điện thoại thì chỉ giúp tôi sửa chỗ đó, đừng xóa cả giỏ và địa chỉ.”</x:v>
      </x:c>
      <x:c r="E37" s="12" t="str">
        <x:v>Bắt buộc
(Must)</x:v>
      </x:c>
      <x:c r="F37" s="12" t="str">
        <x:v>P1-FR-05, P1-FR-07</x:v>
      </x:c>
      <x:c r="G37" s="12" t="str">
        <x:v>Đề xuất thêm; chưa xác nhận đã có
(PROPOSED)</x:v>
      </x:c>
      <x:c r="H37" s="12" t="str">
        <x:v>SYN — không phải lời người thật</x:v>
      </x:c>
    </x:row>
    <x:row r="38" ht="95" customHeight="1">
      <x:c r="A38" s="11" t="str">
        <x:v>SYN-PV-KH-05</x:v>
      </x:c>
      <x:c r="B38" s="11" t="str">
        <x:v>SYN-PV-KH-05-F1</x:v>
      </x:c>
      <x:c r="C38" s="11" t="str">
        <x:v>Quay lại website sau khi trả tiền chưa chứng minh thanh toán thành công; phải chờ máy chủ xác nhận.</x:v>
      </x:c>
      <x:c r="D38" s="11" t="str">
        <x:v>Lời giả định SYN: “Quay về trang cửa hàng chưa đủ, tôi cần trạng thái thanh toán được xác nhận rõ.”</x:v>
      </x:c>
      <x:c r="E38" s="11" t="str">
        <x:v>Bắt buộc
(Must)</x:v>
      </x:c>
      <x:c r="F38" s="11" t="str">
        <x:v>P1-FR-08, P1-FR-09</x:v>
      </x:c>
      <x:c r="G38" s="11" t="str">
        <x:v>Đã được mô tả hoặc có trong hệ thống; chưa có người dùng nghiệm thu
(CURRENT)</x:v>
      </x:c>
      <x:c r="H38" s="11" t="str">
        <x:v>SYN — không phải lời người thật</x:v>
      </x:c>
    </x:row>
    <x:row r="39" ht="95" customHeight="1">
      <x:c r="A39" s="12" t="str">
        <x:v>SYN-PV-KH-05</x:v>
      </x:c>
      <x:c r="B39" s="12" t="str">
        <x:v>SYN-PV-KH-05-F2</x:v>
      </x:c>
      <x:c r="C39" s="12" t="str">
        <x:v>Nút thanh toán trong đồ án cần ghi rõ là giả lập, không thu tiền thật.</x:v>
      </x:c>
      <x:c r="D39" s="12" t="str">
        <x:v>Lời giả định SYN: “Nếu đây là bản thử thì hãy nói rõ, tôi không muốn nhập thông tin ngân hàng thật.”</x:v>
      </x:c>
      <x:c r="E39" s="12" t="str">
        <x:v>Bắt buộc
(Must)</x:v>
      </x:c>
      <x:c r="F39" s="12" t="str">
        <x:v>P1-FR-08</x:v>
      </x:c>
      <x:c r="G39" s="12" t="str">
        <x:v>Đã được mô tả hoặc có trong hệ thống; chưa có người dùng nghiệm thu
(CURRENT)</x:v>
      </x:c>
      <x:c r="H39" s="12" t="str">
        <x:v>SYN — không phải lời người thật</x:v>
      </x:c>
    </x:row>
    <x:row r="40" ht="95" customHeight="1">
      <x:c r="A40" s="11" t="str">
        <x:v>SYN-PV-KH-05</x:v>
      </x:c>
      <x:c r="B40" s="11" t="str">
        <x:v>SYN-PV-KH-05-F3</x:v>
      </x:c>
      <x:c r="C40" s="11" t="str">
        <x:v>Khi liên kết đặt lại mật khẩu hết hạn, cần hướng dẫn xin liên kết mới; không tiết lộ email nào đã có tài khoản.</x:v>
      </x:c>
      <x:c r="D40" s="11" t="str">
        <x:v>Lời giả định SYN: “Liên kết hết hạn thì hướng dẫn tôi xin liên kết mới thay vì báo lỗi khó hiểu.”</x:v>
      </x:c>
      <x:c r="E40" s="11" t="str">
        <x:v>Bắt buộc
(Must)</x:v>
      </x:c>
      <x:c r="F40" s="11" t="str">
        <x:v>P1-FR-03</x:v>
      </x:c>
      <x:c r="G40" s="11" t="str">
        <x:v>Đã được mô tả hoặc có trong hệ thống; chưa có người dùng nghiệm thu
(CURRENT)</x:v>
      </x:c>
      <x:c r="H40" s="11" t="str">
        <x:v>SYN — không phải lời người thật</x:v>
      </x:c>
    </x:row>
    <x:row r="41" ht="95" customHeight="1">
      <x:c r="A41" s="12" t="str">
        <x:v>SYN-PV-KH-05</x:v>
      </x:c>
      <x:c r="B41" s="12" t="str">
        <x:v>SYN-PV-KH-05-F4</x:v>
      </x:c>
      <x:c r="C41" s="12" t="str">
        <x:v>Trang thanh toán không tài khoản đang gửi mã xác thực khác với cách máy chủ yêu cầu (KD-GUEST-01). Đây là lỗi tìm thấy trong mã nguồn, không phải qua khảo sát thật.</x:v>
      </x:c>
      <x:c r="D41" s="12" t="str">
        <x:v>Lời giả định SYN: “Với tình huống giả định này, tôi mong chỉ xem được đơn được cấp quyền mà không thấy mã bảo mật trên URL.”</x:v>
      </x:c>
      <x:c r="E41" s="12" t="str">
        <x:v>Bắt buộc
(Must)</x:v>
      </x:c>
      <x:c r="F41" s="12" t="str">
        <x:v>P1-FR-10</x:v>
      </x:c>
      <x:c r="G41" s="12" t="str">
        <x:v>Còn lỗi đã biết trong mã nguồn
(KNOWN_DEFECT)</x:v>
      </x:c>
      <x:c r="H41" s="12" t="str">
        <x:v>SYN — không phải lời người thật</x:v>
      </x:c>
    </x:row>
    <x:row r="42" ht="95" customHeight="1">
      <x:c r="A42" s="11" t="str">
        <x:v>SYN-PV-KH-06</x:v>
      </x:c>
      <x:c r="B42" s="11" t="str">
        <x:v>SYN-PV-KH-06-F1</x:v>
      </x:c>
      <x:c r="C42" s="11" t="str">
        <x:v>Chỗ chọn cỡ, số lượng, nút thêm giỏ và thông báo lỗi phải nhìn thấy được trên màn hình điện thoại.</x:v>
      </x:c>
      <x:c r="D42" s="11" t="str">
        <x:v>Lời giả định SYN: “Tôi muốn chọn cỡ mà không phải kéo ngang hoặc đoán nút đang chọn.”</x:v>
      </x:c>
      <x:c r="E42" s="11" t="str">
        <x:v>Bắt buộc
(Must)</x:v>
      </x:c>
      <x:c r="F42" s="11" t="str">
        <x:v>P1-FR-01, P1-FR-02, P1-FR-05</x:v>
      </x:c>
      <x:c r="G42" s="11" t="str">
        <x:v>Đề xuất thêm; chưa xác nhận đã có
(PROPOSED)</x:v>
      </x:c>
      <x:c r="H42" s="11" t="str">
        <x:v>SYN — không phải lời người thật</x:v>
      </x:c>
    </x:row>
    <x:row r="43" ht="95" customHeight="1">
      <x:c r="A43" s="12" t="str">
        <x:v>SYN-PV-KH-06</x:v>
      </x:c>
      <x:c r="B43" s="12" t="str">
        <x:v>SYN-PV-KH-06-F2</x:v>
      </x:c>
      <x:c r="C43" s="12" t="str">
        <x:v>Ảnh cần đủ rõ để xem chất liệu và màu. Ảnh chỉ giúp mô tả, không bảo đảm màu hiển thị giống tuyệt đối.</x:v>
      </x:c>
      <x:c r="D43" s="12" t="str">
        <x:v>Lời giả định SYN: “Có ảnh cận chất vải thì tôi dễ quyết định hơn một ảnh chụp xa.”</x:v>
      </x:c>
      <x:c r="E43" s="12" t="str">
        <x:v>Bắt buộc
(Must)</x:v>
      </x:c>
      <x:c r="F43" s="12" t="str">
        <x:v>P1-FR-02</x:v>
      </x:c>
      <x:c r="G43" s="12" t="str">
        <x:v>Đã được mô tả hoặc có trong hệ thống; chưa có người dùng nghiệm thu
(CURRENT)</x:v>
      </x:c>
      <x:c r="H43" s="12" t="str">
        <x:v>SYN — không phải lời người thật</x:v>
      </x:c>
    </x:row>
    <x:row r="44" ht="95" customHeight="1">
      <x:c r="A44" s="11" t="str">
        <x:v>SYN-PV-KH-06</x:v>
      </x:c>
      <x:c r="B44" s="11" t="str">
        <x:v>SYN-PV-KH-06-F3</x:v>
      </x:c>
      <x:c r="C44" s="11" t="str">
        <x:v>Thêm vào giỏ chưa giữ hàng. Nếu hết đúng cỡ, màu lúc đặt đơn, hệ thống cần báo rõ và cho khách chọn lại.</x:v>
      </x:c>
      <x:c r="D44" s="11" t="str">
        <x:v>Lời giả định SYN: “Tôi hiểu giỏ chưa chắc giữ hàng, nhưng lúc hết cỡ phải báo rõ để tôi đổi.”</x:v>
      </x:c>
      <x:c r="E44" s="11" t="str">
        <x:v>Bắt buộc
(Must)</x:v>
      </x:c>
      <x:c r="F44" s="11" t="str">
        <x:v>P1-FR-02, P1-FR-07, P1-FR-13</x:v>
      </x:c>
      <x:c r="G44" s="11" t="str">
        <x:v>Đã được mô tả hoặc có trong hệ thống; chưa có người dùng nghiệm thu
(CURRENT)</x:v>
      </x:c>
      <x:c r="H44" s="11" t="str">
        <x:v>SYN — không phải lời người thật</x:v>
      </x:c>
    </x:row>
    <x:row r="45" ht="95" customHeight="1">
      <x:c r="A45" s="12" t="str">
        <x:v>SYN-PV-KH-06</x:v>
      </x:c>
      <x:c r="B45" s="12" t="str">
        <x:v>SYN-PV-KH-06-F4</x:v>
      </x:c>
      <x:c r="C45" s="12" t="str">
        <x:v>Cần tách tiền giảm cho hàng với tiền giảm phí giao để giải thích tổng tiền; cách trình bày vẫn cần kiểm tra.</x:v>
      </x:c>
      <x:c r="D45" s="12" t="str">
        <x:v>Lời giả định SYN: “Miễn phí giao hàng khác giảm tiền hàng, tôi muốn thấy từng khoản rõ ràng.”</x:v>
      </x:c>
      <x:c r="E45" s="12" t="str">
        <x:v>Bắt buộc
(Must)</x:v>
      </x:c>
      <x:c r="F45" s="12" t="str">
        <x:v>P1-FR-05, P1-FR-06</x:v>
      </x:c>
      <x:c r="G45" s="12" t="str">
        <x:v>Đã được mô tả hoặc có trong hệ thống; chưa có người dùng nghiệm thu
(CURRENT)</x:v>
      </x:c>
      <x:c r="H45" s="12" t="str">
        <x:v>SYN — không phải lời người thật</x:v>
      </x:c>
    </x:row>
    <x:row r="46" ht="95" customHeight="1">
      <x:c r="A46" s="11" t="str">
        <x:v>SYN-PV-KH-07</x:v>
      </x:c>
      <x:c r="B46" s="11" t="str">
        <x:v>SYN-PV-KH-07-F1</x:v>
      </x:c>
      <x:c r="C46" s="11" t="str">
        <x:v>Khách cần biết điều kiện, thời hạn và cách liên hệ đổi trả trước khi mua. Có trang chính sách không có nghĩa đã có quy trình đổi trả tự động.</x:v>
      </x:c>
      <x:c r="D46" s="11" t="str">
        <x:v>Lời giả định SYN: “Tôi muốn đọc điều kiện đổi cỡ trước khi trả tiền, không phải chờ có vấn đề mới hỏi.”</x:v>
      </x:c>
      <x:c r="E46" s="11" t="str">
        <x:v>Bắt buộc
(Must)</x:v>
      </x:c>
      <x:c r="F46" s="11" t="str">
        <x:v>P1-FR-02, P1-FR-19</x:v>
      </x:c>
      <x:c r="G46" s="11" t="str">
        <x:v>Đề xuất thêm; chưa xác nhận đã có
(PROPOSED)</x:v>
      </x:c>
      <x:c r="H46" s="11" t="str">
        <x:v>SYN — không phải lời người thật</x:v>
      </x:c>
    </x:row>
    <x:row r="47" ht="95" customHeight="1">
      <x:c r="A47" s="12" t="str">
        <x:v>SYN-PV-KH-07</x:v>
      </x:c>
      <x:c r="B47" s="12" t="str">
        <x:v>SYN-PV-KH-07-F2</x:v>
      </x:c>
      <x:c r="C47" s="12" t="str">
        <x:v>Hàng trả về không có nghĩa tiền đã được hoàn; phải tách trạng thái giao hàng và thanh toán.</x:v>
      </x:c>
      <x:c r="D47" s="12" t="str">
        <x:v>Lời giả định SYN: “Hàng đã quay lại cửa hàng không tự có nghĩa tiền đã được trả lại cho tôi.”</x:v>
      </x:c>
      <x:c r="E47" s="12" t="str">
        <x:v>Bắt buộc
(Must)</x:v>
      </x:c>
      <x:c r="F47" s="12" t="str">
        <x:v>P1-FR-09, P1-FR-19, P1-FR-23</x:v>
      </x:c>
      <x:c r="G47" s="12" t="str">
        <x:v>Đã được mô tả hoặc có trong hệ thống; chưa có người dùng nghiệm thu
(CURRENT)</x:v>
      </x:c>
      <x:c r="H47" s="12" t="str">
        <x:v>SYN — không phải lời người thật</x:v>
      </x:c>
    </x:row>
    <x:row r="48" ht="95" customHeight="1">
      <x:c r="A48" s="11" t="str">
        <x:v>SYN-PV-KH-07</x:v>
      </x:c>
      <x:c r="B48" s="11" t="str">
        <x:v>SYN-PV-KH-07-F3</x:v>
      </x:c>
      <x:c r="C48" s="11" t="str">
        <x:v>Hàng trả về cần được kiểm tra trước khi nhập lại kho. Việc kiểm tra hiện được ghi nhận ngoài hệ thống.</x:v>
      </x:c>
      <x:c r="D48" s="11" t="str">
        <x:v>Lời giả định SYN: “Tôi muốn cửa hàng xác nhận đã nhận hàng và đang kiểm tra, thay vì chỉ ghi đơn đóng.”</x:v>
      </x:c>
      <x:c r="E48" s="11" t="str">
        <x:v>Bắt buộc
(Must)</x:v>
      </x:c>
      <x:c r="F48" s="11" t="str">
        <x:v>P1-FR-14, P1-FR-19</x:v>
      </x:c>
      <x:c r="G48" s="11" t="str">
        <x:v>Đề xuất thêm; chưa xác nhận đã có
(PROPOSED)</x:v>
      </x:c>
      <x:c r="H48" s="11" t="str">
        <x:v>SYN — không phải lời người thật</x:v>
      </x:c>
    </x:row>
    <x:row r="49" ht="95" customHeight="1">
      <x:c r="A49" s="12" t="str">
        <x:v>SYN-PV-KH-07</x:v>
      </x:c>
      <x:c r="B49" s="12" t="str">
        <x:v>SYN-PV-KH-07-F4</x:v>
      </x:c>
      <x:c r="C49" s="12" t="str">
        <x:v>Khách muốn gửi và theo dõi yêu cầu hoàn tiền trên website. Hiện chưa có thao tác hay bảng dữ liệu riêng cho yêu cầu hoàn tiền.</x:v>
      </x:c>
      <x:c r="D49" s="12" t="str">
        <x:v>Lời giả định SYN: “Có nơi gửi yêu cầu và theo dõi hoàn tiền sẽ dễ hơn việc phải nhắn nhiều lần.”</x:v>
      </x:c>
      <x:c r="E49" s="12" t="str">
        <x:v>Nên có
(Should)</x:v>
      </x:c>
      <x:c r="F49" s="12" t="str">
        <x:v>P1-FR-19, P1-FR-23</x:v>
      </x:c>
      <x:c r="G49" s="12" t="str">
        <x:v>Đề xuất thêm; chưa xác nhận đã có
(PROPOSED)</x:v>
      </x:c>
      <x:c r="H49" s="12" t="str">
        <x:v>SYN — không phải lời người thật</x:v>
      </x:c>
    </x:row>
    <x:row r="50" ht="95" customHeight="1">
      <x:c r="A50" s="11" t="str">
        <x:v>SYN-PV-KH-08</x:v>
      </x:c>
      <x:c r="B50" s="11" t="str">
        <x:v>SYN-PV-KH-08-F1</x:v>
      </x:c>
      <x:c r="C50" s="11" t="str">
        <x:v>Nếu khách gửi lại cùng một yêu cầu, mã chống lặp phải giúp trả về đơn đã tạo, không tạo thêm đơn thứ hai.</x:v>
      </x:c>
      <x:c r="D50" s="11" t="str">
        <x:v>Lời giả định SYN: “Mạng chậm thì tôi có thể bấm lại; tôi không muốn nhận hai đơn giống nhau.”</x:v>
      </x:c>
      <x:c r="E50" s="11" t="str">
        <x:v>Bắt buộc
(Must)</x:v>
      </x:c>
      <x:c r="F50" s="11" t="str">
        <x:v>P1-FR-07</x:v>
      </x:c>
      <x:c r="G50" s="11" t="str">
        <x:v>Đã được mô tả hoặc có trong hệ thống; chưa có người dùng nghiệm thu
(CURRENT)</x:v>
      </x:c>
      <x:c r="H50" s="11" t="str">
        <x:v>SYN — không phải lời người thật</x:v>
      </x:c>
    </x:row>
    <x:row r="51" ht="95" customHeight="1">
      <x:c r="A51" s="12" t="str">
        <x:v>SYN-PV-KH-08</x:v>
      </x:c>
      <x:c r="B51" s="12" t="str">
        <x:v>SYN-PV-KH-08-F2</x:v>
      </x:c>
      <x:c r="C51" s="12" t="str">
        <x:v>Cần báo rõ đơn đang xử lý và chỉ xác nhận thành công khi máy chủ trả lời. Cách hiển thị cần được kiểm tra với người dùng.</x:v>
      </x:c>
      <x:c r="D51" s="12" t="str">
        <x:v>Lời giả định SYN: “Nếu chưa biết thành công hay chưa, hãy cho tôi cách kiểm tra thay vì bắt đoán.”</x:v>
      </x:c>
      <x:c r="E51" s="12" t="str">
        <x:v>Bắt buộc
(Must)</x:v>
      </x:c>
      <x:c r="F51" s="12" t="str">
        <x:v>P1-FR-07, P1-FR-10</x:v>
      </x:c>
      <x:c r="G51" s="12" t="str">
        <x:v>Đề xuất thêm; chưa xác nhận đã có
(PROPOSED)</x:v>
      </x:c>
      <x:c r="H51" s="12" t="str">
        <x:v>SYN — không phải lời người thật</x:v>
      </x:c>
    </x:row>
    <x:row r="52" ht="95" customHeight="1">
      <x:c r="A52" s="11" t="str">
        <x:v>SYN-PV-KH-08</x:v>
      </x:c>
      <x:c r="B52" s="11" t="str">
        <x:v>SYN-PV-KH-08-F3</x:v>
      </x:c>
      <x:c r="C52" s="11" t="str">
        <x:v>Giao thất bại cần có lý do và hướng xử lý. Số lần giao hiện là dữ liệu giả lập hoặc do nhân viên nhập, chưa lấy từ hãng thật.</x:v>
      </x:c>
      <x:c r="D52" s="11" t="str">
        <x:v>Lời giả định SYN: “Đơn giao không thành công cần nói vì sao và tôi nên làm gì tiếp theo.”</x:v>
      </x:c>
      <x:c r="E52" s="11" t="str">
        <x:v>Bắt buộc
(Must)</x:v>
      </x:c>
      <x:c r="F52" s="11" t="str">
        <x:v>P1-FR-18, P1-FR-19</x:v>
      </x:c>
      <x:c r="G52" s="11" t="str">
        <x:v>Đã được mô tả hoặc có trong hệ thống; chưa có người dùng nghiệm thu
(CURRENT)</x:v>
      </x:c>
      <x:c r="H52" s="11" t="str">
        <x:v>SYN — không phải lời người thật</x:v>
      </x:c>
    </x:row>
    <x:row r="53" ht="95" customHeight="1">
      <x:c r="A53" s="12" t="str">
        <x:v>SYN-PV-KH-08</x:v>
      </x:c>
      <x:c r="B53" s="12" t="str">
        <x:v>SYN-PV-KH-08-F4</x:v>
      </x:c>
      <x:c r="C53" s="12" t="str">
        <x:v>Tra cứu và chăm sóc khách hàng chỉ nên hiện thông tin cần thiết; nhập sai mã không được lộ đơn của người khác.</x:v>
      </x:c>
      <x:c r="D53" s="12" t="str">
        <x:v>Lời giả định SYN: “Tôi muốn tra đúng đơn của mình mà không nhìn thấy thông tin của khách khác.”</x:v>
      </x:c>
      <x:c r="E53" s="12" t="str">
        <x:v>Bắt buộc
(Must)</x:v>
      </x:c>
      <x:c r="F53" s="12" t="str">
        <x:v>P1-FR-10, P1-FR-20</x:v>
      </x:c>
      <x:c r="G53" s="12" t="str">
        <x:v>Đã được mô tả hoặc có trong hệ thống; chưa có người dùng nghiệm thu
(CURRENT)</x:v>
      </x:c>
      <x:c r="H53" s="12" t="str">
        <x:v>SYN — không phải lời người thật</x:v>
      </x:c>
    </x:row>
    <x:row r="54" ht="95" customHeight="1">
      <x:c r="A54" s="11" t="str">
        <x:v>SYN-PV-VH-01</x:v>
      </x:c>
      <x:c r="B54" s="11" t="str">
        <x:v>SYN-PV-VH-01-F1</x:v>
      </x:c>
      <x:c r="C54" s="11" t="str">
        <x:v>Cần giải thích quy tắc và thứ tự chia nhóm khách hàng, kể cả phiên bản quy tắc (ruleVersion); không tự chia nhóm từ tuổi hay giới tính.</x:v>
      </x:c>
      <x:c r="D54" s="11" t="str">
        <x:v>Lời giả định SYN: “Tôi muốn biết vì sao khách ở nhóm có nguy cơ rời bỏ, không chỉ nhìn một màu nhãn.”</x:v>
      </x:c>
      <x:c r="E54" s="11" t="str">
        <x:v>Nên có
(Should)</x:v>
      </x:c>
      <x:c r="F54" s="11" t="str">
        <x:v>P1-FR-20, P1-FR-21</x:v>
      </x:c>
      <x:c r="G54" s="11" t="str">
        <x:v>Đã được mô tả hoặc có trong hệ thống; chưa có người dùng nghiệm thu
(CURRENT)</x:v>
      </x:c>
      <x:c r="H54" s="11" t="str">
        <x:v>SYN — không phải lời người thật</x:v>
      </x:c>
    </x:row>
    <x:row r="55" ht="95" customHeight="1">
      <x:c r="A55" s="12" t="str">
        <x:v>SYN-PV-VH-01</x:v>
      </x:c>
      <x:c r="B55" s="12" t="str">
        <x:v>SYN-PV-VH-01-F2</x:v>
      </x:c>
      <x:c r="C55" s="12" t="str">
        <x:v>Trợ lý đọc số liệu theo quy tắc có sẵn. Quản lý cần thấy thời điểm và số liệu gốc, rồi tự quyết định ở màn hình được cấp quyền.</x:v>
      </x:c>
      <x:c r="D55" s="12" t="str">
        <x:v>Lời giả định SYN: “Trợ lý nên giúp tôi đọc số liệu, còn quyết định đổi tồn hoặc giảm giá phải do người có quyền làm.”</x:v>
      </x:c>
      <x:c r="E55" s="12" t="str">
        <x:v>Nên có
(Should)</x:v>
      </x:c>
      <x:c r="F55" s="12" t="str">
        <x:v>P1-FR-23, P1-FR-24</x:v>
      </x:c>
      <x:c r="G55" s="12" t="str">
        <x:v>Đã được mô tả hoặc có trong hệ thống; chưa có người dùng nghiệm thu
(CURRENT)</x:v>
      </x:c>
      <x:c r="H55" s="12" t="str">
        <x:v>SYN — không phải lời người thật</x:v>
      </x:c>
    </x:row>
    <x:row r="56" ht="95" customHeight="1">
      <x:c r="A56" s="11" t="str">
        <x:v>SYN-PV-VH-01</x:v>
      </x:c>
      <x:c r="B56" s="11" t="str">
        <x:v>SYN-PV-VH-01-F3</x:v>
      </x:c>
      <x:c r="C56" s="11" t="str">
        <x:v>Quản lý còn cần sửa và ngừng bán sản phẩm. FR-22 hiện mới có một phần xem, thêm và quản lý ảnh; chưa đủ mọi thao tác.</x:v>
      </x:c>
      <x:c r="D56" s="11" t="str">
        <x:v>Lời giả định SYN: “Tôi còn cần sửa thông tin và ngừng bán mẫu cũ, không chỉ thêm sản phẩm mới.”</x:v>
      </x:c>
      <x:c r="E56" s="11" t="str">
        <x:v>Bắt buộc
(Must)</x:v>
      </x:c>
      <x:c r="F56" s="11" t="str">
        <x:v>P1-FR-22</x:v>
      </x:c>
      <x:c r="G56" s="11" t="str">
        <x:v>Đề xuất thêm; chưa xác nhận đã có
(PROPOSED)</x:v>
      </x:c>
      <x:c r="H56" s="11" t="str">
        <x:v>SYN — không phải lời người thật</x:v>
      </x:c>
    </x:row>
    <x:row r="57" ht="95" customHeight="1">
      <x:c r="A57" s="12" t="str">
        <x:v>SYN-PV-VH-01</x:v>
      </x:c>
      <x:c r="B57" s="12" t="str">
        <x:v>SYN-PV-VH-01-F4</x:v>
      </x:c>
      <x:c r="C57" s="12" t="str">
        <x:v>Chỉ quản trị viên có quyền khóa khách hàng. Phải ghi lý do và nhật ký thao tác; quản lý không mặc nhiên có quyền này.</x:v>
      </x:c>
      <x:c r="D57" s="12" t="str">
        <x:v>Lời giả định SYN: “Ai khóa tài khoản và vì sao phải tra lại được, không chỉ thấy nút biến mất.”</x:v>
      </x:c>
      <x:c r="E57" s="12" t="str">
        <x:v>Bắt buộc
(Must)</x:v>
      </x:c>
      <x:c r="F57" s="12" t="str">
        <x:v>P1-FR-20</x:v>
      </x:c>
      <x:c r="G57" s="12" t="str">
        <x:v>Đã được mô tả hoặc có trong hệ thống; chưa có người dùng nghiệm thu
(CURRENT)</x:v>
      </x:c>
      <x:c r="H57" s="12" t="str">
        <x:v>SYN — không phải lời người thật</x:v>
      </x:c>
    </x:row>
    <x:row r="58" ht="95" customHeight="1">
      <x:c r="A58" s="11" t="str">
        <x:v>SYN-PV-VH-02</x:v>
      </x:c>
      <x:c r="B58" s="11" t="str">
        <x:v>SYN-PV-VH-02-F1</x:v>
      </x:c>
      <x:c r="C58" s="11" t="str">
        <x:v>Cần tách tồn thực tế, hàng đã giữ cho đơn, hàng chưa giữ và hàng còn sau dự phòng. Khi đặt đơn, hệ thống chưa dùng mức dự phòng để chặn bán.</x:v>
      </x:c>
      <x:c r="D58" s="11" t="str">
        <x:v>Lời giả định SYN: “Có 10 chiếc nhưng 7 chiếc đã giữ cho đơn thì tôi chỉ còn 3 chiếc tự do.”</x:v>
      </x:c>
      <x:c r="E58" s="11" t="str">
        <x:v>Bắt buộc
(Must)</x:v>
      </x:c>
      <x:c r="F58" s="11" t="str">
        <x:v>P1-FR-12, P1-FR-13</x:v>
      </x:c>
      <x:c r="G58" s="11" t="str">
        <x:v>Đã được mô tả hoặc có trong hệ thống; chưa có người dùng nghiệm thu
(CURRENT)</x:v>
      </x:c>
      <x:c r="H58" s="11" t="str">
        <x:v>SYN — không phải lời người thật</x:v>
      </x:c>
    </x:row>
    <x:row r="59" ht="95" customHeight="1">
      <x:c r="A59" s="12" t="str">
        <x:v>SYN-PV-VH-02</x:v>
      </x:c>
      <x:c r="B59" s="12" t="str">
        <x:v>SYN-PV-VH-02-F2</x:v>
      </x:c>
      <x:c r="C59" s="12" t="str">
        <x:v>Chuyển kho phải ghi cả trừ kho nguồn và cộng kho đích, cùng mã tham chiếu. Tồn kho nguồn không được thấp hơn số đã giữ cho đơn.</x:v>
      </x:c>
      <x:c r="D59" s="12" t="str">
        <x:v>Lời giả định SYN: “Nếu đã trừ kho nguồn mà cộng kho đích lỗi, tôi cần cả hai cùng quay lại.”</x:v>
      </x:c>
      <x:c r="E59" s="12" t="str">
        <x:v>Bắt buộc
(Must)</x:v>
      </x:c>
      <x:c r="F59" s="12" t="str">
        <x:v>P1-FR-15</x:v>
      </x:c>
      <x:c r="G59" s="12" t="str">
        <x:v>Đã được mô tả hoặc có trong hệ thống; chưa có người dùng nghiệm thu
(CURRENT)</x:v>
      </x:c>
      <x:c r="H59" s="12" t="str">
        <x:v>SYN — không phải lời người thật</x:v>
      </x:c>
    </x:row>
    <x:row r="60" ht="95" customHeight="1">
      <x:c r="A60" s="11" t="str">
        <x:v>SYN-PV-VH-02</x:v>
      </x:c>
      <x:c r="B60" s="11" t="str">
        <x:v>SYN-PV-VH-02-F3</x:v>
      </x:c>
      <x:c r="C60" s="11" t="str">
        <x:v>Mỗi lần ghi chứng từ hiện chỉ xử lý một mã hàng và ghi nhận ngay. Phiếu nhiều dòng có bước lập nháp, phê duyệt là phần đề xuất thêm.</x:v>
      </x:c>
      <x:c r="D60" s="11" t="str">
        <x:v>Lời giả định SYN: “Một phiếu nhiều SKU và bước duyệt sẽ tiện, nhưng tôi hiểu bản này đang ghi từng dòng.”</x:v>
      </x:c>
      <x:c r="E60" s="11" t="str">
        <x:v>Nên có
(Should)</x:v>
      </x:c>
      <x:c r="F60" s="11" t="str">
        <x:v>P1-FR-14, P1-FR-16</x:v>
      </x:c>
      <x:c r="G60" s="11" t="str">
        <x:v>Đề xuất thêm; chưa xác nhận đã có
(PROPOSED)</x:v>
      </x:c>
      <x:c r="H60" s="11" t="str">
        <x:v>SYN — không phải lời người thật</x:v>
      </x:c>
    </x:row>
    <x:row r="61" ht="95" customHeight="1">
      <x:c r="A61" s="12" t="str">
        <x:v>SYN-PV-VH-02</x:v>
      </x:c>
      <x:c r="B61" s="12" t="str">
        <x:v>SYN-PV-VH-02-F4</x:v>
      </x:c>
      <x:c r="C61" s="12" t="str">
        <x:v>Hàng giữ quá hạn cần được xử lý và thanh toán phải khớp với đơn. Hai lỗi KD-INV-01/02 khiến việc này chưa đầy đủ.</x:v>
      </x:c>
      <x:c r="D61" s="12" t="str">
        <x:v>Lời giả định SYN: “Đơn không còn hiệu lực thì hàng giữ chỗ phải được giải thích rõ để kho biết có thể bán hay chưa.”</x:v>
      </x:c>
      <x:c r="E61" s="12" t="str">
        <x:v>Bắt buộc
(Must)</x:v>
      </x:c>
      <x:c r="F61" s="12" t="str">
        <x:v>P1-FR-13</x:v>
      </x:c>
      <x:c r="G61" s="12" t="str">
        <x:v>Còn lỗi đã biết trong mã nguồn
(KNOWN_DEFECT)</x:v>
      </x:c>
      <x:c r="H61" s="12" t="str">
        <x:v>SYN — không phải lời người thật</x:v>
      </x:c>
    </x:row>
    <x:row r="62" ht="95" customHeight="1">
      <x:c r="A62" s="11" t="str">
        <x:v>SYN-PV-VH-03</x:v>
      </x:c>
      <x:c r="B62" s="11" t="str">
        <x:v>SYN-PV-VH-03-F1</x:v>
      </x:c>
      <x:c r="C62" s="11" t="str">
        <x:v>Một đơn lấy từ nhiều kho có phiếu giao riêng cho từng kho. Nhân viên cần đúng danh sách hàng và hàng giữ chỗ của kiện đang xử lý.</x:v>
      </x:c>
      <x:c r="D62" s="11" t="str">
        <x:v>Lời giả định SYN: “Tôi bàn giao kiện kho Hà Nội thì chỉ hàng ở kiện đó được xuất, không phải cả đơn.”</x:v>
      </x:c>
      <x:c r="E62" s="11" t="str">
        <x:v>Bắt buộc
(Must)</x:v>
      </x:c>
      <x:c r="F62" s="11" t="str">
        <x:v>P1-FR-13, P1-FR-17, P1-FR-18</x:v>
      </x:c>
      <x:c r="G62" s="11" t="str">
        <x:v>Đã được mô tả hoặc có trong hệ thống; chưa có người dùng nghiệm thu
(CURRENT)</x:v>
      </x:c>
      <x:c r="H62" s="11" t="str">
        <x:v>SYN — không phải lời người thật</x:v>
      </x:c>
    </x:row>
    <x:row r="63" ht="95" customHeight="1">
      <x:c r="A63" s="12" t="str">
        <x:v>SYN-PV-VH-03</x:v>
      </x:c>
      <x:c r="B63" s="12" t="str">
        <x:v>SYN-PV-VH-03-F2</x:v>
      </x:c>
      <x:c r="C63" s="12" t="str">
        <x:v>Trước khi bàn giao phải có hãng giao và mã vận đơn. Mã phiên bản (expectedVersion) giúp phát hiện hai người cùng sửa một phiếu.</x:v>
      </x:c>
      <x:c r="D63" s="12" t="str">
        <x:v>Lời giả định SYN: “Nếu đồng nghiệp vừa sửa mã vận đơn, thao tác của tôi cần báo xung đột chứ không đè mất.”</x:v>
      </x:c>
      <x:c r="E63" s="12" t="str">
        <x:v>Bắt buộc
(Must)</x:v>
      </x:c>
      <x:c r="F63" s="12" t="str">
        <x:v>P1-FR-18</x:v>
      </x:c>
      <x:c r="G63" s="12" t="str">
        <x:v>Đã được mô tả hoặc có trong hệ thống; chưa có người dùng nghiệm thu
(CURRENT)</x:v>
      </x:c>
      <x:c r="H63" s="12" t="str">
        <x:v>SYN — không phải lời người thật</x:v>
      </x:c>
    </x:row>
    <x:row r="64" ht="95" customHeight="1">
      <x:c r="A64" s="11" t="str">
        <x:v>SYN-PV-VH-03</x:v>
      </x:c>
      <x:c r="B64" s="11" t="str">
        <x:v>SYN-PV-VH-03-F3</x:v>
      </x:c>
      <x:c r="C64" s="11" t="str">
        <x:v>Hàng trả về sau khi xuất không tự tăng tồn; phần giữ chỗ vẫn ghi đã xuất. Kho kiểm tra ngoài hệ thống, rồi lập phiếu nhập riêng có mã tham chiếu.</x:v>
      </x:c>
      <x:c r="D64" s="11" t="str">
        <x:v>Lời giả định SYN: “Hàng quay lại chưa chắc bán được ngay; phải kiểm tra rồi mới nhập lại tồn.”</x:v>
      </x:c>
      <x:c r="E64" s="11" t="str">
        <x:v>Bắt buộc
(Must)</x:v>
      </x:c>
      <x:c r="F64" s="11" t="str">
        <x:v>P1-FR-14, P1-FR-19</x:v>
      </x:c>
      <x:c r="G64" s="11" t="str">
        <x:v>Đã được mô tả hoặc có trong hệ thống; chưa có người dùng nghiệm thu
(CURRENT)</x:v>
      </x:c>
      <x:c r="H64" s="11" t="str">
        <x:v>SYN — không phải lời người thật</x:v>
      </x:c>
    </x:row>
    <x:row r="65" ht="95" customHeight="1">
      <x:c r="A65" s="12" t="str">
        <x:v>SYN-PV-VH-03</x:v>
      </x:c>
      <x:c r="B65" s="12" t="str">
        <x:v>SYN-PV-VH-03-F4</x:v>
      </x:c>
      <x:c r="C65" s="12" t="str">
        <x:v>Hiện chưa cho phép các kiện cùng đơn có kết quả vừa giao thành công vừa trả về. Cần thiết kế riêng việc giao một phần và hoàn một phần.</x:v>
      </x:c>
      <x:c r="D65" s="12" t="str">
        <x:v>Lời giả định SYN: “Nếu một kiện khách giữ còn kiện khác trả, tôi cần quy trình rõ thay vì tự sửa trạng thái.”</x:v>
      </x:c>
      <x:c r="E65" s="12" t="str">
        <x:v>Nên có
(Should)</x:v>
      </x:c>
      <x:c r="F65" s="12" t="str">
        <x:v>P1-FR-18, P1-FR-19, P1-FR-23</x:v>
      </x:c>
      <x:c r="G65" s="12" t="str">
        <x:v>Đề xuất thêm; chưa xác nhận đã có
(PROPOSED)</x:v>
      </x:c>
      <x:c r="H65" s="12" t="str">
        <x:v>SYN — không phải lời người thật</x:v>
      </x:c>
    </x:row>
    <x:row r="66" ht="95" customHeight="1">
      <x:c r="A66" s="11" t="str">
        <x:v>SYN-PV-VH-04</x:v>
      </x:c>
      <x:c r="B66" s="11" t="str">
        <x:v>SYN-PV-VH-04-F1</x:v>
      </x:c>
      <x:c r="C66" s="11" t="str">
        <x:v>Thông báo thanh toán tự động phải có chữ ký hợp lệ và mã chống trùng; cập nhật thanh toán và đơn phải cùng thành công hoặc cùng hủy.</x:v>
      </x:c>
      <x:c r="D66" s="11" t="str">
        <x:v>Lời giả định SYN: “Một thông báo gửi hai lần không được làm số thu tăng hai lần.”</x:v>
      </x:c>
      <x:c r="E66" s="11" t="str">
        <x:v>Bắt buộc
(Must)</x:v>
      </x:c>
      <x:c r="F66" s="11" t="str">
        <x:v>P1-FR-09, P1-FR-23</x:v>
      </x:c>
      <x:c r="G66" s="11" t="str">
        <x:v>Đã được mô tả hoặc có trong hệ thống; chưa có người dùng nghiệm thu
(CURRENT)</x:v>
      </x:c>
      <x:c r="H66" s="11" t="str">
        <x:v>SYN — không phải lời người thật</x:v>
      </x:c>
    </x:row>
    <x:row r="67" ht="95" customHeight="1">
      <x:c r="A67" s="12" t="str">
        <x:v>SYN-PV-VH-04</x:v>
      </x:c>
      <x:c r="B67" s="12" t="str">
        <x:v>SYN-PV-VH-04-F2</x:v>
      </x:c>
      <x:c r="C67" s="12" t="str">
        <x:v>Lỗi KD-PAY-01 cho phép thông báo thành công đến muộn ghi đã thanh toán cho đơn đã hủy. Cần quy định từ chối hoặc đối soát riêng.</x:v>
      </x:c>
      <x:c r="D67" s="12" t="str">
        <x:v>Lời giả định SYN: “Đơn đã hủy mà tiền báo về sau thì phải vào bước xử lý ngoại lệ, không tự coi đơn vẫn bình thường.”</x:v>
      </x:c>
      <x:c r="E67" s="12" t="str">
        <x:v>Bắt buộc
(Must)</x:v>
      </x:c>
      <x:c r="F67" s="12" t="str">
        <x:v>P1-FR-09, P1-FR-11, P1-FR-23</x:v>
      </x:c>
      <x:c r="G67" s="12" t="str">
        <x:v>Còn lỗi đã biết trong mã nguồn
(KNOWN_DEFECT)</x:v>
      </x:c>
      <x:c r="H67" s="12" t="str">
        <x:v>SYN — không phải lời người thật</x:v>
      </x:c>
    </x:row>
    <x:row r="68" ht="95" customHeight="1">
      <x:c r="A68" s="11" t="str">
        <x:v>SYN-PV-VH-04</x:v>
      </x:c>
      <x:c r="B68" s="11" t="str">
        <x:v>SYN-PV-VH-04-F3</x:v>
      </x:c>
      <x:c r="C68" s="11" t="str">
        <x:v>Đơn trả khi nhận hàng chỉ ghi đã thanh toán khi mọi kiện đã giao. Nếu mọi kiện trả về, đơn ghi đã hoàn hàng và khoản thu bị hủy. Chưa có sổ thu theo kiện hay đối soát hãng thật.</x:v>
      </x:c>
      <x:c r="D68" s="11" t="str">
        <x:v>Lời giả định SYN: “Tôi chỉ chốt COD toàn đơn khi đủ điều kiện; số thu thực ở từng kiện cần một sổ khác nếu triển khai thật.”</x:v>
      </x:c>
      <x:c r="E68" s="11" t="str">
        <x:v>Bắt buộc
(Must)</x:v>
      </x:c>
      <x:c r="F68" s="11" t="str">
        <x:v>P1-FR-08, P1-FR-18, P1-FR-23</x:v>
      </x:c>
      <x:c r="G68" s="11" t="str">
        <x:v>Đã được mô tả hoặc có trong hệ thống; chưa có người dùng nghiệm thu
(CURRENT)</x:v>
      </x:c>
      <x:c r="H68" s="11" t="str">
        <x:v>SYN — không phải lời người thật</x:v>
      </x:c>
    </x:row>
    <x:row r="69" ht="95" customHeight="1">
      <x:c r="A69" s="12" t="str">
        <x:v>SYN-PV-VH-04</x:v>
      </x:c>
      <x:c r="B69" s="12" t="str">
        <x:v>SYN-PV-VH-04-F4</x:v>
      </x:c>
      <x:c r="C69" s="12" t="str">
        <x:v>Thông báo giả lập có thể ghi hoàn toàn bộ tiền, nhưng trang quản trị chưa có nút hoàn tiền. Muốn hủy đơn đã trả tiền phải hoàn tiền trước, không sửa cột trực tiếp.</x:v>
      </x:c>
      <x:c r="D69" s="12" t="str">
        <x:v>Lời giả định SYN: “Đổi trạng thái thành hoàn tiền không tự chuyển tiền; cần chứng cứ và quy trình được phép.”</x:v>
      </x:c>
      <x:c r="E69" s="12" t="str">
        <x:v>Bắt buộc
(Must)</x:v>
      </x:c>
      <x:c r="F69" s="12" t="str">
        <x:v>P1-FR-09, P1-FR-11, P1-FR-19, P1-FR-23</x:v>
      </x:c>
      <x:c r="G69" s="12" t="str">
        <x:v>Đã được mô tả hoặc có trong hệ thống; chưa có người dùng nghiệm thu
(CURRENT)</x:v>
      </x:c>
      <x:c r="H69" s="12" t="str">
        <x:v>SYN — không phải lời người thật</x:v>
      </x:c>
    </x:row>
    <x:row r="70" ht="24" customHeight="1">
      <x:c r="A70" s="2"/>
      <x:c r="B70" s="2"/>
      <x:c r="C70" s="2"/>
      <x:c r="D70" s="2"/>
      <x:c r="E70" s="2"/>
      <x:c r="F70" s="2"/>
      <x:c r="G70" s="2"/>
      <x:c r="H70" s="2"/>
    </x:row>
    <x:row r="71" ht="24" customHeight="1">
      <x:c r="A71" s="2"/>
      <x:c r="B71" s="2"/>
      <x:c r="C71" s="2"/>
      <x:c r="D71" s="2"/>
      <x:c r="E71" s="2"/>
      <x:c r="F71" s="2"/>
      <x:c r="G71" s="2"/>
      <x:c r="H71" s="2"/>
    </x:row>
    <x:row r="72" ht="24" customHeight="1">
      <x:c r="A72" s="2"/>
      <x:c r="B72" s="2"/>
      <x:c r="C72" s="2"/>
      <x:c r="D72" s="2"/>
      <x:c r="E72" s="2"/>
      <x:c r="F72" s="2"/>
      <x:c r="G72" s="2"/>
      <x:c r="H72" s="2"/>
    </x:row>
    <x:row r="73" ht="24" customHeight="1">
      <x:c r="A73" s="2"/>
      <x:c r="B73" s="2"/>
      <x:c r="C73" s="2"/>
      <x:c r="D73" s="2"/>
      <x:c r="E73" s="2"/>
      <x:c r="F73" s="2"/>
      <x:c r="G73" s="2"/>
      <x:c r="H73" s="2"/>
    </x:row>
    <x:row r="74" ht="24" customHeight="1">
      <x:c r="A74" s="2"/>
      <x:c r="B74" s="2"/>
      <x:c r="C74" s="2"/>
      <x:c r="D74" s="2"/>
      <x:c r="E74" s="2"/>
      <x:c r="F74" s="2"/>
      <x:c r="G74" s="2"/>
      <x:c r="H74" s="2"/>
    </x:row>
    <x:row r="75" ht="24" customHeight="1">
      <x:c r="A75" s="2"/>
      <x:c r="B75" s="2"/>
      <x:c r="C75" s="2"/>
      <x:c r="D75" s="2"/>
      <x:c r="E75" s="2"/>
      <x:c r="F75" s="2"/>
      <x:c r="G75" s="2"/>
      <x:c r="H75" s="2"/>
    </x:row>
    <x:row r="76" ht="24" customHeight="1">
      <x:c r="A76" s="2"/>
      <x:c r="B76" s="2"/>
      <x:c r="C76" s="2"/>
      <x:c r="D76" s="2"/>
      <x:c r="E76" s="2"/>
      <x:c r="F76" s="2"/>
      <x:c r="G76" s="2"/>
      <x:c r="H76" s="2"/>
    </x:row>
    <x:row r="77" ht="24" customHeight="1">
      <x:c r="A77" s="2"/>
      <x:c r="B77" s="2"/>
      <x:c r="C77" s="2"/>
      <x:c r="D77" s="2"/>
      <x:c r="E77" s="2"/>
      <x:c r="F77" s="2"/>
      <x:c r="G77" s="2"/>
      <x:c r="H77" s="2"/>
    </x:row>
    <x:row r="78" ht="24" customHeight="1">
      <x:c r="A78" s="2"/>
      <x:c r="B78" s="2"/>
      <x:c r="C78" s="2"/>
      <x:c r="D78" s="2"/>
      <x:c r="E78" s="2"/>
      <x:c r="F78" s="2"/>
      <x:c r="G78" s="2"/>
      <x:c r="H78" s="2"/>
    </x:row>
    <x:row r="79" ht="24" customHeight="1">
      <x:c r="A79" s="2"/>
      <x:c r="B79" s="2"/>
      <x:c r="C79" s="2"/>
      <x:c r="D79" s="2"/>
      <x:c r="E79" s="2"/>
      <x:c r="F79" s="2"/>
      <x:c r="G79" s="2"/>
      <x:c r="H79" s="2"/>
    </x:row>
    <x:row r="80" ht="24" customHeight="1">
      <x:c r="A80" s="2"/>
      <x:c r="B80" s="2"/>
      <x:c r="C80" s="2"/>
      <x:c r="D80" s="2"/>
      <x:c r="E80" s="2"/>
      <x:c r="F80" s="2"/>
      <x:c r="G80" s="2"/>
      <x:c r="H80" s="2"/>
    </x:row>
    <x:row r="81" ht="24" customHeight="1">
      <x:c r="A81" s="2"/>
      <x:c r="B81" s="2"/>
      <x:c r="C81" s="2"/>
      <x:c r="D81" s="2"/>
      <x:c r="E81" s="2"/>
      <x:c r="F81" s="2"/>
      <x:c r="G81" s="2"/>
      <x:c r="H81" s="2"/>
    </x:row>
    <x:row r="82" ht="24" customHeight="1">
      <x:c r="A82" s="2"/>
      <x:c r="B82" s="2"/>
      <x:c r="C82" s="2"/>
      <x:c r="D82" s="2"/>
      <x:c r="E82" s="2"/>
      <x:c r="F82" s="2"/>
      <x:c r="G82" s="2"/>
      <x:c r="H82" s="2"/>
    </x:row>
    <x:row r="83" ht="24" customHeight="1">
      <x:c r="A83" s="2"/>
      <x:c r="B83" s="2"/>
      <x:c r="C83" s="2"/>
      <x:c r="D83" s="2"/>
      <x:c r="E83" s="2"/>
      <x:c r="F83" s="2"/>
      <x:c r="G83" s="2"/>
      <x:c r="H83" s="2"/>
    </x:row>
    <x:row r="84" ht="24" customHeight="1">
      <x:c r="A84" s="2"/>
      <x:c r="B84" s="2"/>
      <x:c r="C84" s="2"/>
      <x:c r="D84" s="2"/>
      <x:c r="E84" s="2"/>
      <x:c r="F84" s="2"/>
      <x:c r="G84" s="2"/>
      <x:c r="H84" s="2"/>
    </x:row>
    <x:row r="85" ht="24" customHeight="1">
      <x:c r="A85" s="2"/>
      <x:c r="B85" s="2"/>
      <x:c r="C85" s="2"/>
      <x:c r="D85" s="2"/>
      <x:c r="E85" s="2"/>
      <x:c r="F85" s="2"/>
      <x:c r="G85" s="2"/>
      <x:c r="H85" s="2"/>
    </x:row>
    <x:row r="86" ht="24" customHeight="1">
      <x:c r="A86" s="2"/>
      <x:c r="B86" s="2"/>
      <x:c r="C86" s="2"/>
      <x:c r="D86" s="2"/>
      <x:c r="E86" s="2"/>
      <x:c r="F86" s="2"/>
      <x:c r="G86" s="2"/>
      <x:c r="H86" s="2"/>
    </x:row>
    <x:row r="87" ht="24" customHeight="1">
      <x:c r="A87" s="2"/>
      <x:c r="B87" s="2"/>
      <x:c r="C87" s="2"/>
      <x:c r="D87" s="2"/>
      <x:c r="E87" s="2"/>
      <x:c r="F87" s="2"/>
      <x:c r="G87" s="2"/>
      <x:c r="H87" s="2"/>
    </x:row>
    <x:row r="88" ht="24" customHeight="1">
      <x:c r="A88" s="2"/>
      <x:c r="B88" s="2"/>
      <x:c r="C88" s="2"/>
      <x:c r="D88" s="2"/>
      <x:c r="E88" s="2"/>
      <x:c r="F88" s="2"/>
      <x:c r="G88" s="2"/>
      <x:c r="H88" s="2"/>
    </x:row>
    <x:row r="89" ht="24" customHeight="1">
      <x:c r="A89" s="2"/>
      <x:c r="B89" s="2"/>
      <x:c r="C89" s="2"/>
      <x:c r="D89" s="2"/>
      <x:c r="E89" s="2"/>
      <x:c r="F89" s="2"/>
      <x:c r="G89" s="2"/>
      <x:c r="H89" s="2"/>
    </x:row>
    <x:row r="90" ht="24" customHeight="1">
      <x:c r="A90" s="2"/>
      <x:c r="B90" s="2"/>
      <x:c r="C90" s="2"/>
      <x:c r="D90" s="2"/>
      <x:c r="E90" s="2"/>
      <x:c r="F90" s="2"/>
      <x:c r="G90" s="2"/>
      <x:c r="H90" s="2"/>
    </x:row>
    <x:row r="91" ht="24" customHeight="1">
      <x:c r="A91" s="2"/>
      <x:c r="B91" s="2"/>
      <x:c r="C91" s="2"/>
      <x:c r="D91" s="2"/>
      <x:c r="E91" s="2"/>
      <x:c r="F91" s="2"/>
      <x:c r="G91" s="2"/>
      <x:c r="H91" s="2"/>
    </x:row>
    <x:row r="92" ht="24" customHeight="1">
      <x:c r="A92" s="2"/>
      <x:c r="B92" s="2"/>
      <x:c r="C92" s="2"/>
      <x:c r="D92" s="2"/>
      <x:c r="E92" s="2"/>
      <x:c r="F92" s="2"/>
      <x:c r="G92" s="2"/>
      <x:c r="H92" s="2"/>
    </x:row>
    <x:row r="93" ht="24" customHeight="1">
      <x:c r="A93" s="2"/>
      <x:c r="B93" s="2"/>
      <x:c r="C93" s="2"/>
      <x:c r="D93" s="2"/>
      <x:c r="E93" s="2"/>
      <x:c r="F93" s="2"/>
      <x:c r="G93" s="2"/>
      <x:c r="H93" s="2"/>
    </x:row>
    <x:row r="94" ht="24" customHeight="1">
      <x:c r="A94" s="2"/>
      <x:c r="B94" s="2"/>
      <x:c r="C94" s="2"/>
      <x:c r="D94" s="2"/>
      <x:c r="E94" s="2"/>
      <x:c r="F94" s="2"/>
      <x:c r="G94" s="2"/>
      <x:c r="H94" s="2"/>
    </x:row>
    <x:row r="95" ht="24" customHeight="1">
      <x:c r="A95" s="2"/>
      <x:c r="B95" s="2"/>
      <x:c r="C95" s="2"/>
      <x:c r="D95" s="2"/>
      <x:c r="E95" s="2"/>
      <x:c r="F95" s="2"/>
      <x:c r="G95" s="2"/>
      <x:c r="H95" s="2"/>
    </x:row>
  </x:sheetData>
  <x:mergeCells>
    <x:mergeCell ref="A1:H1"/>
    <x:mergeCell ref="A2:H3"/>
  </x:mergeCells>
  <x:pageMargins left="0.7" right="0.7" top="0.75" bottom="0.75" header="0.3" footer="0.3"/>
  <x:tableParts count="2">
    <x:tablePart xmlns:r="http://schemas.openxmlformats.org/officeDocument/2006/relationships" r:id="R192eb034011e450e"/>
    <x:tablePart xmlns:r="http://schemas.openxmlformats.org/officeDocument/2006/relationships" r:id="R62c7a25418b9433c"/>
  </x:tableParts>
</x:worksheet>
</file>

<file path=xl/worksheets/sheet6.xml><?xml version="1.0" encoding="utf-8"?>
<x:worksheet xmlns:x="http://schemas.openxmlformats.org/spreadsheetml/2006/main">
  <x:sheetViews>
    <x:sheetView showGridLines="0" workbookViewId="0"/>
  </x:sheetViews>
  <x:sheetFormatPr defaultRowHeight="15"/>
  <x:cols>
    <x:col min="1" max="1" width="23" hidden="0" customWidth="1"/>
    <x:col min="2" max="2" width="14" hidden="0" customWidth="1"/>
    <x:col min="3" max="3" width="48" hidden="0" customWidth="1"/>
    <x:col min="4" max="4" width="18" hidden="0" customWidth="1"/>
    <x:col min="5" max="5" width="23" hidden="0" customWidth="1"/>
    <x:col min="6" max="6" width="23" hidden="0" customWidth="1"/>
    <x:col min="7" max="7" width="22" hidden="0" customWidth="1"/>
    <x:col min="8" max="8" width="24" hidden="0" customWidth="1"/>
    <x:col min="9" max="9" width="20" hidden="0" customWidth="1"/>
    <x:col min="10" max="10" width="20" hidden="0" customWidth="1"/>
    <x:col min="11" max="11" width="20" hidden="0" customWidth="1"/>
    <x:col min="12" max="12" width="21" hidden="0" customWidth="1"/>
    <x:col min="13" max="13" width="21" hidden="0" customWidth="1"/>
    <x:col min="14" max="14" width="20" hidden="0" customWidth="1"/>
    <x:col min="15" max="15" width="12" hidden="0" customWidth="1"/>
    <x:col min="16" max="16" width="27" hidden="0" customWidth="1"/>
    <x:col min="17" max="17" width="60" hidden="0" customWidth="1"/>
    <x:col min="18" max="18" width="50" hidden="0" customWidth="1"/>
  </x:cols>
  <x:sheetData>
    <x:row r="1" ht="38" customHeight="1">
      <x:c r="A1" s="4" t="str">
        <x:v>ĐƠN HÀNG GIẢ LẬP · 20 mẫu</x:v>
      </x:c>
      <x:c r="B1" s="4"/>
      <x:c r="C1" s="4"/>
      <x:c r="D1" s="4"/>
      <x:c r="E1" s="4"/>
      <x:c r="F1" s="4"/>
      <x:c r="G1" s="4"/>
      <x:c r="H1" s="4"/>
      <x:c r="I1" s="4"/>
      <x:c r="J1" s="4"/>
      <x:c r="K1" s="2"/>
      <x:c r="L1" s="2"/>
      <x:c r="M1" s="2"/>
      <x:c r="N1" s="2"/>
      <x:c r="O1" s="2"/>
      <x:c r="P1" s="2"/>
      <x:c r="Q1" s="2"/>
      <x:c r="R1" s="2"/>
    </x:row>
    <x:row r="2" ht="24" customHeight="1">
      <x:c r="A2" s="6" t="str">
        <x:v>SYN = dữ liệu giả lập. Tổng tiền được kiểm tra từ chi tiết ở DongHang. Một số mẫu minh họa lỗi đã biết trong mã nguồn; không dùng để tính tỷ lệ lỗi ngoài thực tế. Mã trạng thái gốc được giữ trong ngoặc.</x:v>
      </x:c>
      <x:c r="B2" s="6"/>
      <x:c r="C2" s="6"/>
      <x:c r="D2" s="6"/>
      <x:c r="E2" s="6"/>
      <x:c r="F2" s="6"/>
      <x:c r="G2" s="6"/>
      <x:c r="H2" s="6"/>
      <x:c r="I2" s="6"/>
      <x:c r="J2" s="6"/>
      <x:c r="K2" s="2"/>
      <x:c r="L2" s="2"/>
      <x:c r="M2" s="2"/>
      <x:c r="N2" s="2"/>
      <x:c r="O2" s="2"/>
      <x:c r="P2" s="2"/>
      <x:c r="Q2" s="2"/>
      <x:c r="R2" s="2"/>
    </x:row>
    <x:row r="3" ht="24" customHeight="1">
      <x:c r="A3" s="6"/>
      <x:c r="B3" s="6"/>
      <x:c r="C3" s="6"/>
      <x:c r="D3" s="6"/>
      <x:c r="E3" s="6"/>
      <x:c r="F3" s="6"/>
      <x:c r="G3" s="6"/>
      <x:c r="H3" s="6"/>
      <x:c r="I3" s="6"/>
      <x:c r="J3" s="6"/>
      <x:c r="K3" s="2"/>
      <x:c r="L3" s="2"/>
      <x:c r="M3" s="2"/>
      <x:c r="N3" s="2"/>
      <x:c r="O3" s="2"/>
      <x:c r="P3" s="2"/>
      <x:c r="Q3" s="2"/>
      <x:c r="R3" s="2"/>
    </x:row>
    <x:row r="4" ht="12" customHeight="1">
      <x:c r="A4" s="2"/>
      <x:c r="B4" s="2"/>
      <x:c r="C4" s="2"/>
      <x:c r="D4" s="2"/>
      <x:c r="E4" s="2"/>
      <x:c r="F4" s="2"/>
      <x:c r="G4" s="2"/>
      <x:c r="H4" s="2"/>
      <x:c r="I4" s="2"/>
      <x:c r="J4" s="2"/>
      <x:c r="K4" s="2"/>
      <x:c r="L4" s="2"/>
      <x:c r="M4" s="2"/>
      <x:c r="N4" s="2"/>
      <x:c r="O4" s="2"/>
      <x:c r="P4" s="2"/>
      <x:c r="Q4" s="2"/>
      <x:c r="R4" s="2"/>
    </x:row>
    <x:row r="5" ht="42" customHeight="1">
      <x:c r="A5" s="9" t="str">
        <x:v>Mã đơn giả lập</x:v>
      </x:c>
      <x:c r="B5" s="9" t="str">
        <x:v>Ngày giả định</x:v>
      </x:c>
      <x:c r="C5" s="9" t="str">
        <x:v>Lý do chọn mẫu</x:v>
      </x:c>
      <x:c r="D5" s="9" t="str">
        <x:v>Cách thanh toán</x:v>
      </x:c>
      <x:c r="E5" s="9" t="str">
        <x:v>Trạng thái đơn</x:v>
      </x:c>
      <x:c r="F5" s="9" t="str">
        <x:v>Thanh toán: trên đơn</x:v>
      </x:c>
      <x:c r="G5" s="9" t="str">
        <x:v>Thanh toán: bản ghi riêng</x:v>
      </x:c>
      <x:c r="H5" s="9" t="str">
        <x:v>Giao hàng: toàn đơn</x:v>
      </x:c>
      <x:c r="I5" s="9" t="str">
        <x:v>Tiền hàng (đồng)</x:v>
      </x:c>
      <x:c r="J5" s="9" t="str">
        <x:v>Giảm giá (đồng)</x:v>
      </x:c>
      <x:c r="K5" s="9" t="str">
        <x:v>Phí giao (đồng)</x:v>
      </x:c>
      <x:c r="L5" s="9" t="str">
        <x:v>Tổng tính (đồng)</x:v>
      </x:c>
      <x:c r="M5" s="9" t="str">
        <x:v>Tổng nguồn (đồng)</x:v>
      </x:c>
      <x:c r="N5" s="9" t="str">
        <x:v>Đối chiếu tiền</x:v>
      </x:c>
      <x:c r="O5" s="9" t="str">
        <x:v>Số kiện</x:v>
      </x:c>
      <x:c r="P5" s="9" t="str">
        <x:v>Yêu cầu liên quan</x:v>
      </x:c>
      <x:c r="Q5" s="9" t="str">
        <x:v>Giải thích</x:v>
      </x:c>
      <x:c r="R5" s="9" t="str">
        <x:v>Mã giảm giá đã áp</x:v>
      </x:c>
    </x:row>
    <x:row r="6" ht="90" customHeight="1">
      <x:c r="A6" s="11" t="str">
        <x:v>SYN-HS-DH-01</x:v>
      </x:c>
      <x:c r="B6" s="11" t="str">
        <x:v>N4</x:v>
      </x:c>
      <x:c r="C6" s="11" t="str">
        <x:v>Đơn trả khi nhận hàng lấy từ một kho đã giao đủ; hai chiếc cùng mã hàng được ghi trên một dòng.</x:v>
      </x:c>
      <x:c r="D6" s="11" t="str">
        <x:v>Trả khi nhận hàng
(cod)</x:v>
      </x:c>
      <x:c r="E6" s="11" t="str">
        <x:v>Đã giao
(delivered)</x:v>
      </x:c>
      <x:c r="F6" s="11" t="str">
        <x:v>Đã thanh toán
(paid)</x:v>
      </x:c>
      <x:c r="G6" s="11" t="str">
        <x:v>Thành công
(succeeded)</x:v>
      </x:c>
      <x:c r="H6" s="11" t="str">
        <x:v>Đã giao đủ
(fulfilled)</x:v>
      </x:c>
      <x:c r="I6" s="28" t="n">
        <x:f>SUMIF('DongHang'!$A$6:$A$35,A6,'DongHang'!$G$6:$G$35)</x:f>
        <x:v>500000</x:v>
      </x:c>
      <x:c r="J6" s="26" t="n">
        <x:v>0</x:v>
      </x:c>
      <x:c r="K6" s="26" t="n">
        <x:v>30000</x:v>
      </x:c>
      <x:c r="L6" s="28" t="n">
        <x:f>I6-J6+K6</x:f>
        <x:v>530000</x:v>
      </x:c>
      <x:c r="M6" s="26" t="n">
        <x:v>530000</x:v>
      </x:c>
      <x:c r="N6" s="24" t="str">
        <x:f>IF(L6=M6,"KHỚP","LỖI TIỀN")</x:f>
        <x:v>KHỚP</x:v>
      </x:c>
      <x:c r="O6" s="11" t="n">
        <x:v>1</x:v>
      </x:c>
      <x:c r="P6" s="11" t="str">
        <x:v>P1-FR-07, P1-FR-08, P1-FR-18</x:v>
      </x:c>
      <x:c r="Q6" s="11" t="str">
        <x:v>Mọi kiện đã giao nên đơn trả khi nhận hàng được ghi thanh toán thành công và đã thu tiền.</x:v>
      </x:c>
      <x:c r="R6" s="11" t="str">
        <x:v>Không áp mã</x:v>
      </x:c>
    </x:row>
    <x:row r="7" ht="90" customHeight="1">
      <x:c r="A7" s="12" t="str">
        <x:v>SYN-HS-DH-02</x:v>
      </x:c>
      <x:c r="B7" s="12" t="str">
        <x:v>N4</x:v>
      </x:c>
      <x:c r="C7" s="12" t="str">
        <x:v>Thanh toán trước giả lập, áp mã giảm số tiền cố định và giao đủ hàng.</x:v>
      </x:c>
      <x:c r="D7" s="12" t="str">
        <x:v>Thanh toán trực tuyến
(online)</x:v>
      </x:c>
      <x:c r="E7" s="12" t="str">
        <x:v>Đã giao
(delivered)</x:v>
      </x:c>
      <x:c r="F7" s="12" t="str">
        <x:v>Đã thanh toán
(paid)</x:v>
      </x:c>
      <x:c r="G7" s="12" t="str">
        <x:v>Thành công
(succeeded)</x:v>
      </x:c>
      <x:c r="H7" s="12" t="str">
        <x:v>Đã giao đủ
(fulfilled)</x:v>
      </x:c>
      <x:c r="I7" s="29" t="n">
        <x:f>SUMIF('DongHang'!$A$6:$A$35,A7,'DongHang'!$G$6:$G$35)</x:f>
        <x:v>650000</x:v>
      </x:c>
      <x:c r="J7" s="27" t="n">
        <x:v>50000</x:v>
      </x:c>
      <x:c r="K7" s="27" t="n">
        <x:v>30000</x:v>
      </x:c>
      <x:c r="L7" s="29" t="n">
        <x:f>I7-J7+K7</x:f>
        <x:v>630000</x:v>
      </x:c>
      <x:c r="M7" s="27" t="n">
        <x:v>630000</x:v>
      </x:c>
      <x:c r="N7" s="25" t="str">
        <x:f>IF(L7=M7,"KHỚP","LỖI TIỀN")</x:f>
        <x:v>KHỚP</x:v>
      </x:c>
      <x:c r="O7" s="12" t="n">
        <x:v>1</x:v>
      </x:c>
      <x:c r="P7" s="12" t="str">
        <x:v>P1-FR-06, P1-FR-09, P1-FR-18</x:v>
      </x:c>
      <x:c r="Q7" s="12" t="str">
        <x:v>Thông báo thanh toán thành công giả lập được xử lý trước khi xuất kho; không có trả tiền thật.</x:v>
      </x:c>
      <x:c r="R7" s="12" t="str">
        <x:v>Mã SYN-GIAM50
Giảm số tiền cố định
(fixed); tiền hàng tối thiểu 500.000đ; giảm 50.000đ.
Mã giả định, không phải mã có sẵn trong ứng dụng.</x:v>
      </x:c>
    </x:row>
    <x:row r="8" ht="90" customHeight="1">
      <x:c r="A8" s="11" t="str">
        <x:v>SYN-HS-DH-03</x:v>
      </x:c>
      <x:c r="B8" s="11" t="str">
        <x:v>N4</x:v>
      </x:c>
      <x:c r="C8" s="11" t="str">
        <x:v>Đơn trả khi nhận hàng lấy từ hai kho; cả hai kiện giao thành công.</x:v>
      </x:c>
      <x:c r="D8" s="11" t="str">
        <x:v>Trả khi nhận hàng
(cod)</x:v>
      </x:c>
      <x:c r="E8" s="11" t="str">
        <x:v>Đã giao
(delivered)</x:v>
      </x:c>
      <x:c r="F8" s="11" t="str">
        <x:v>Đã thanh toán
(paid)</x:v>
      </x:c>
      <x:c r="G8" s="11" t="str">
        <x:v>Thành công
(succeeded)</x:v>
      </x:c>
      <x:c r="H8" s="11" t="str">
        <x:v>Đã giao đủ
(fulfilled)</x:v>
      </x:c>
      <x:c r="I8" s="28" t="n">
        <x:f>SUMIF('DongHang'!$A$6:$A$35,A8,'DongHang'!$G$6:$G$35)</x:f>
        <x:v>700000</x:v>
      </x:c>
      <x:c r="J8" s="26" t="n">
        <x:v>50000</x:v>
      </x:c>
      <x:c r="K8" s="26" t="n">
        <x:v>40000</x:v>
      </x:c>
      <x:c r="L8" s="28" t="n">
        <x:f>I8-J8+K8</x:f>
        <x:v>690000</x:v>
      </x:c>
      <x:c r="M8" s="26" t="n">
        <x:v>690000</x:v>
      </x:c>
      <x:c r="N8" s="24" t="str">
        <x:f>IF(L8=M8,"KHỚP","LỖI TIỀN")</x:f>
        <x:v>KHỚP</x:v>
      </x:c>
      <x:c r="O8" s="11" t="n">
        <x:v>2</x:v>
      </x:c>
      <x:c r="P8" s="11" t="str">
        <x:v>P1-FR-08, P1-FR-17, P1-FR-18</x:v>
      </x:c>
      <x:c r="Q8" s="11" t="str">
        <x:v>Chỉ khi kiện cuối đã giao mới ghi toàn đơn trả khi nhận hàng là đã thanh toán; chưa có sổ thu riêng từng kiện.</x:v>
      </x:c>
      <x:c r="R8" s="11" t="str">
        <x:v>Mã SYN-GIAM50
Giảm số tiền cố định
(fixed); tiền hàng tối thiểu 500.000đ; giảm 50.000đ.
Mã giả định, không phải mã có sẵn trong ứng dụng.</x:v>
      </x:c>
    </x:row>
    <x:row r="9" ht="90" customHeight="1">
      <x:c r="A9" s="12" t="str">
        <x:v>SYN-HS-DH-04</x:v>
      </x:c>
      <x:c r="B9" s="12" t="str">
        <x:v>N4</x:v>
      </x:c>
      <x:c r="C9" s="12" t="str">
        <x:v>Thanh toán trực tuyến, lấy từ hai kho; hai kiện đã giao đủ và cùng dùng tổng tiền đã chốt.</x:v>
      </x:c>
      <x:c r="D9" s="12" t="str">
        <x:v>Thanh toán trực tuyến
(online)</x:v>
      </x:c>
      <x:c r="E9" s="12" t="str">
        <x:v>Đã giao
(delivered)</x:v>
      </x:c>
      <x:c r="F9" s="12" t="str">
        <x:v>Đã thanh toán
(paid)</x:v>
      </x:c>
      <x:c r="G9" s="12" t="str">
        <x:v>Thành công
(succeeded)</x:v>
      </x:c>
      <x:c r="H9" s="12" t="str">
        <x:v>Đã giao đủ
(fulfilled)</x:v>
      </x:c>
      <x:c r="I9" s="29" t="n">
        <x:f>SUMIF('DongHang'!$A$6:$A$35,A9,'DongHang'!$G$6:$G$35)</x:f>
        <x:v>850000</x:v>
      </x:c>
      <x:c r="J9" s="27" t="n">
        <x:v>50000</x:v>
      </x:c>
      <x:c r="K9" s="27" t="n">
        <x:v>40000</x:v>
      </x:c>
      <x:c r="L9" s="29" t="n">
        <x:f>I9-J9+K9</x:f>
        <x:v>840000</x:v>
      </x:c>
      <x:c r="M9" s="27" t="n">
        <x:v>840000</x:v>
      </x:c>
      <x:c r="N9" s="25" t="str">
        <x:f>IF(L9=M9,"KHỚP","LỖI TIỀN")</x:f>
        <x:v>KHỚP</x:v>
      </x:c>
      <x:c r="O9" s="12" t="n">
        <x:v>2</x:v>
      </x:c>
      <x:c r="P9" s="12" t="str">
        <x:v>P1-FR-07, P1-FR-09, P1-FR-17</x:v>
      </x:c>
      <x:c r="Q9" s="12" t="str">
        <x:v>Thanh toán đã thành công trước khi bàn giao; giao đủ hàng không làm ghi thêm một khoản thanh toán.</x:v>
      </x:c>
      <x:c r="R9" s="12" t="str">
        <x:v>Mã SYN-GIAM50
Giảm số tiền cố định
(fixed); tiền hàng tối thiểu 500.000đ; giảm 50.000đ.
Mã giả định, không phải mã có sẵn trong ứng dụng.</x:v>
      </x:c>
    </x:row>
    <x:row r="10" ht="90" customHeight="1">
      <x:c r="A10" s="11" t="str">
        <x:v>SYN-HS-DH-05</x:v>
      </x:c>
      <x:c r="B10" s="11" t="str">
        <x:v>N4</x:v>
      </x:c>
      <x:c r="C10" s="11" t="str">
        <x:v>Đơn trả khi nhận hàng vừa đặt, chưa đóng gói; hàng mới được giữ chỗ.</x:v>
      </x:c>
      <x:c r="D10" s="11" t="str">
        <x:v>Trả khi nhận hàng
(cod)</x:v>
      </x:c>
      <x:c r="E10" s="11" t="str">
        <x:v>Đã xác nhận
(confirmed)</x:v>
      </x:c>
      <x:c r="F10" s="11" t="str">
        <x:v>Chờ thu khi giao
(cod_pending)</x:v>
      </x:c>
      <x:c r="G10" s="11" t="str">
        <x:v>Đang chờ
(pending)</x:v>
      </x:c>
      <x:c r="H10" s="11" t="str">
        <x:v>Đã giữ hàng
(reserved)</x:v>
      </x:c>
      <x:c r="I10" s="28" t="n">
        <x:f>SUMIF('DongHang'!$A$6:$A$35,A10,'DongHang'!$G$6:$G$35)</x:f>
        <x:v>320000</x:v>
      </x:c>
      <x:c r="J10" s="26" t="n">
        <x:v>0</x:v>
      </x:c>
      <x:c r="K10" s="26" t="n">
        <x:v>30000</x:v>
      </x:c>
      <x:c r="L10" s="28" t="n">
        <x:f>I10-J10+K10</x:f>
        <x:v>350000</x:v>
      </x:c>
      <x:c r="M10" s="26" t="n">
        <x:v>350000</x:v>
      </x:c>
      <x:c r="N10" s="24" t="str">
        <x:f>IF(L10=M10,"KHỚP","LỖI TIỀN")</x:f>
        <x:v>KHỚP</x:v>
      </x:c>
      <x:c r="O10" s="11" t="n">
        <x:v>1</x:v>
      </x:c>
      <x:c r="P10" s="11" t="str">
        <x:v>P1-FR-07, P1-FR-12, P1-FR-13</x:v>
      </x:c>
      <x:c r="Q10" s="11" t="str">
        <x:v>Chưa trừ tồn thực tế. Hàng giữ cho đơn trả khi nhận hàng có hạn 30 ngày, nhưng xử lý hết hạn còn lỗi KD-INV-02.</x:v>
      </x:c>
      <x:c r="R10" s="11" t="str">
        <x:v>Không áp mã</x:v>
      </x:c>
    </x:row>
    <x:row r="11" ht="90" customHeight="1">
      <x:c r="A11" s="12" t="str">
        <x:v>SYN-HS-DH-06</x:v>
      </x:c>
      <x:c r="B11" s="12" t="str">
        <x:v>N5</x:v>
      </x:c>
      <x:c r="C11" s="12" t="str">
        <x:v>Đơn trực tuyến chờ thanh toán; mẫu ghi trước khi hết hạn giữ hàng hai giờ.</x:v>
      </x:c>
      <x:c r="D11" s="12" t="str">
        <x:v>Thanh toán trực tuyến
(online)</x:v>
      </x:c>
      <x:c r="E11" s="12" t="str">
        <x:v>Chờ thanh toán
(pending_payment)</x:v>
      </x:c>
      <x:c r="F11" s="12" t="str">
        <x:v>Đang chờ
(pending)</x:v>
      </x:c>
      <x:c r="G11" s="12" t="str">
        <x:v>Đang chờ
(pending)</x:v>
      </x:c>
      <x:c r="H11" s="12" t="str">
        <x:v>Đã giữ hàng
(reserved)</x:v>
      </x:c>
      <x:c r="I11" s="29" t="n">
        <x:f>SUMIF('DongHang'!$A$6:$A$35,A11,'DongHang'!$G$6:$G$35)</x:f>
        <x:v>650000</x:v>
      </x:c>
      <x:c r="J11" s="27" t="n">
        <x:v>50000</x:v>
      </x:c>
      <x:c r="K11" s="27" t="n">
        <x:v>30000</x:v>
      </x:c>
      <x:c r="L11" s="29" t="n">
        <x:f>I11-J11+K11</x:f>
        <x:v>630000</x:v>
      </x:c>
      <x:c r="M11" s="27" t="n">
        <x:v>630000</x:v>
      </x:c>
      <x:c r="N11" s="25" t="str">
        <x:f>IF(L11=M11,"KHỚP","LỖI TIỀN")</x:f>
        <x:v>KHỚP</x:v>
      </x:c>
      <x:c r="O11" s="12" t="n">
        <x:v>1</x:v>
      </x:c>
      <x:c r="P11" s="12" t="str">
        <x:v>P1-FR-08, P1-FR-09, P1-FR-13</x:v>
      </x:c>
      <x:c r="Q11" s="12" t="str">
        <x:v>Chưa đủ điều kiện giao hàng. Khi hết hạn cần cập nhật thanh toán cho khớp; lỗi KD-INV-01 vẫn chưa xử lý xong.</x:v>
      </x:c>
      <x:c r="R11" s="12" t="str">
        <x:v>Mã SYN-GIAM50
Giảm số tiền cố định
(fixed); tiền hàng tối thiểu 500.000đ; giảm 50.000đ.
Mã giả định, không phải mã có sẵn trong ứng dụng.</x:v>
      </x:c>
    </x:row>
    <x:row r="12" ht="90" customHeight="1">
      <x:c r="A12" s="11" t="str">
        <x:v>SYN-HS-DH-07</x:v>
      </x:c>
      <x:c r="B12" s="11" t="str">
        <x:v>N5</x:v>
      </x:c>
      <x:c r="C12" s="11" t="str">
        <x:v>Hai kho đang soạn hàng; chưa xuất kiện nào.</x:v>
      </x:c>
      <x:c r="D12" s="11" t="str">
        <x:v>Trả khi nhận hàng
(cod)</x:v>
      </x:c>
      <x:c r="E12" s="11" t="str">
        <x:v>Đang xử lý
(processing)</x:v>
      </x:c>
      <x:c r="F12" s="11" t="str">
        <x:v>Chờ thu khi giao
(cod_pending)</x:v>
      </x:c>
      <x:c r="G12" s="11" t="str">
        <x:v>Đang chờ
(pending)</x:v>
      </x:c>
      <x:c r="H12" s="11" t="str">
        <x:v>Đã giữ hàng
(reserved)</x:v>
      </x:c>
      <x:c r="I12" s="28" t="n">
        <x:f>SUMIF('DongHang'!$A$6:$A$35,A12,'DongHang'!$G$6:$G$35)</x:f>
        <x:v>950000</x:v>
      </x:c>
      <x:c r="J12" s="26" t="n">
        <x:v>50000</x:v>
      </x:c>
      <x:c r="K12" s="26" t="n">
        <x:v>40000</x:v>
      </x:c>
      <x:c r="L12" s="28" t="n">
        <x:f>I12-J12+K12</x:f>
        <x:v>940000</x:v>
      </x:c>
      <x:c r="M12" s="26" t="n">
        <x:v>940000</x:v>
      </x:c>
      <x:c r="N12" s="24" t="str">
        <x:f>IF(L12=M12,"KHỚP","LỖI TIỀN")</x:f>
        <x:v>KHỚP</x:v>
      </x:c>
      <x:c r="O12" s="11" t="n">
        <x:v>2</x:v>
      </x:c>
      <x:c r="P12" s="11" t="str">
        <x:v>P1-FR-12, P1-FR-13, P1-FR-17</x:v>
      </x:c>
      <x:c r="Q12" s="11" t="str">
        <x:v>Mỗi kho có phiếu giao riêng; hàng của cả hai kiện vẫn đang được giữ và chưa thu tiền khi nhận hàng.</x:v>
      </x:c>
      <x:c r="R12" s="11" t="str">
        <x:v>Mã SYN-GIAM50
Giảm số tiền cố định
(fixed); tiền hàng tối thiểu 500.000đ; giảm 50.000đ.
Mã giả định, không phải mã có sẵn trong ứng dụng.</x:v>
      </x:c>
    </x:row>
    <x:row r="13" ht="90" customHeight="1">
      <x:c r="A13" s="12" t="str">
        <x:v>SYN-HS-DH-08</x:v>
      </x:c>
      <x:c r="B13" s="12" t="str">
        <x:v>N5</x:v>
      </x:c>
      <x:c r="C13" s="12" t="str">
        <x:v>Đã thanh toán; mọi kiện sẵn sàng bàn giao.</x:v>
      </x:c>
      <x:c r="D13" s="12" t="str">
        <x:v>Thanh toán trực tuyến
(online)</x:v>
      </x:c>
      <x:c r="E13" s="12" t="str">
        <x:v>Sẵn sàng bàn giao
(ready_to_ship)</x:v>
      </x:c>
      <x:c r="F13" s="12" t="str">
        <x:v>Đã thanh toán
(paid)</x:v>
      </x:c>
      <x:c r="G13" s="12" t="str">
        <x:v>Thành công
(succeeded)</x:v>
      </x:c>
      <x:c r="H13" s="12" t="str">
        <x:v>Đã giữ hàng
(reserved)</x:v>
      </x:c>
      <x:c r="I13" s="29" t="n">
        <x:f>SUMIF('DongHang'!$A$6:$A$35,A13,'DongHang'!$G$6:$G$35)</x:f>
        <x:v>1050000</x:v>
      </x:c>
      <x:c r="J13" s="27" t="n">
        <x:v>50000</x:v>
      </x:c>
      <x:c r="K13" s="27" t="n">
        <x:v>40000</x:v>
      </x:c>
      <x:c r="L13" s="29" t="n">
        <x:f>I13-J13+K13</x:f>
        <x:v>1040000</x:v>
      </x:c>
      <x:c r="M13" s="27" t="n">
        <x:v>1040000</x:v>
      </x:c>
      <x:c r="N13" s="25" t="str">
        <x:f>IF(L13=M13,"KHỚP","LỖI TIỀN")</x:f>
        <x:v>KHỚP</x:v>
      </x:c>
      <x:c r="O13" s="12" t="n">
        <x:v>2</x:v>
      </x:c>
      <x:c r="P13" s="12" t="str">
        <x:v>P1-FR-09, P1-FR-13, P1-FR-18</x:v>
      </x:c>
      <x:c r="Q13" s="12" t="str">
        <x:v>Hãng giao và mã vận đơn giả đã được nhập tay, nhưng chưa có nghĩa hãng đã nhận hàng; kho chưa xuất hàng giữ chỗ.</x:v>
      </x:c>
      <x:c r="R13" s="12" t="str">
        <x:v>Mã SYN-GIAM50
Giảm số tiền cố định
(fixed); tiền hàng tối thiểu 500.000đ; giảm 50.000đ.
Mã giả định, không phải mã có sẵn trong ứng dụng.</x:v>
      </x:c>
    </x:row>
    <x:row r="14" ht="90" customHeight="1">
      <x:c r="A14" s="11" t="str">
        <x:v>SYN-HS-DH-09</x:v>
      </x:c>
      <x:c r="B14" s="11" t="str">
        <x:v>N5</x:v>
      </x:c>
      <x:c r="C14" s="11" t="str">
        <x:v>Đơn trả khi nhận hàng đã xuất một kiện, kiện còn lại đang soạn.</x:v>
      </x:c>
      <x:c r="D14" s="11" t="str">
        <x:v>Trả khi nhận hàng
(cod)</x:v>
      </x:c>
      <x:c r="E14" s="11" t="str">
        <x:v>Đã bàn giao vận chuyển
(shipped)</x:v>
      </x:c>
      <x:c r="F14" s="11" t="str">
        <x:v>Chờ thu khi giao
(cod_pending)</x:v>
      </x:c>
      <x:c r="G14" s="11" t="str">
        <x:v>Đang chờ
(pending)</x:v>
      </x:c>
      <x:c r="H14" s="11" t="str">
        <x:v>Đã xử lý một phần
(partially_fulfilled)</x:v>
      </x:c>
      <x:c r="I14" s="28" t="n">
        <x:f>SUMIF('DongHang'!$A$6:$A$35,A14,'DongHang'!$G$6:$G$35)</x:f>
        <x:v>700000</x:v>
      </x:c>
      <x:c r="J14" s="26" t="n">
        <x:v>50000</x:v>
      </x:c>
      <x:c r="K14" s="26" t="n">
        <x:v>40000</x:v>
      </x:c>
      <x:c r="L14" s="28" t="n">
        <x:f>I14-J14+K14</x:f>
        <x:v>690000</x:v>
      </x:c>
      <x:c r="M14" s="26" t="n">
        <x:v>690000</x:v>
      </x:c>
      <x:c r="N14" s="24" t="str">
        <x:f>IF(L14=M14,"KHỚP","LỖI TIỀN")</x:f>
        <x:v>KHỚP</x:v>
      </x:c>
      <x:c r="O14" s="11" t="n">
        <x:v>2</x:v>
      </x:c>
      <x:c r="P14" s="11" t="str">
        <x:v>P1-FR-13, P1-FR-17, P1-FR-18</x:v>
      </x:c>
      <x:c r="Q14" s="11" t="str">
        <x:v>Chỉ hàng của kiện đã bàn giao bị trừ tồn thực tế và hàng giữ chỗ. Toàn đơn mới được xử lý một phần (partially_fulfilled).</x:v>
      </x:c>
      <x:c r="R14" s="11" t="str">
        <x:v>Mã SYN-GIAM50
Giảm số tiền cố định
(fixed); tiền hàng tối thiểu 500.000đ; giảm 50.000đ.
Mã giả định, không phải mã có sẵn trong ứng dụng.</x:v>
      </x:c>
    </x:row>
    <x:row r="15" ht="90" customHeight="1">
      <x:c r="A15" s="12" t="str">
        <x:v>SYN-HS-DH-10</x:v>
      </x:c>
      <x:c r="B15" s="12" t="str">
        <x:v>N5</x:v>
      </x:c>
      <x:c r="C15" s="12" t="str">
        <x:v>Đơn trả khi nhận hàng đã giao một kiện, kiện thứ hai đang vận chuyển.</x:v>
      </x:c>
      <x:c r="D15" s="12" t="str">
        <x:v>Trả khi nhận hàng
(cod)</x:v>
      </x:c>
      <x:c r="E15" s="12" t="str">
        <x:v>Đã bàn giao vận chuyển
(shipped)</x:v>
      </x:c>
      <x:c r="F15" s="12" t="str">
        <x:v>Chờ thu khi giao
(cod_pending)</x:v>
      </x:c>
      <x:c r="G15" s="12" t="str">
        <x:v>Đang chờ
(pending)</x:v>
      </x:c>
      <x:c r="H15" s="12" t="str">
        <x:v>Đã bàn giao vận chuyển
(shipped)</x:v>
      </x:c>
      <x:c r="I15" s="29" t="n">
        <x:f>SUMIF('DongHang'!$A$6:$A$35,A15,'DongHang'!$G$6:$G$35)</x:f>
        <x:v>850000</x:v>
      </x:c>
      <x:c r="J15" s="27" t="n">
        <x:v>50000</x:v>
      </x:c>
      <x:c r="K15" s="27" t="n">
        <x:v>40000</x:v>
      </x:c>
      <x:c r="L15" s="29" t="n">
        <x:f>I15-J15+K15</x:f>
        <x:v>840000</x:v>
      </x:c>
      <x:c r="M15" s="27" t="n">
        <x:v>840000</x:v>
      </x:c>
      <x:c r="N15" s="25" t="str">
        <x:f>IF(L15=M15,"KHỚP","LỖI TIỀN")</x:f>
        <x:v>KHỚP</x:v>
      </x:c>
      <x:c r="O15" s="12" t="n">
        <x:v>2</x:v>
      </x:c>
      <x:c r="P15" s="12" t="str">
        <x:v>P1-FR-08, P1-FR-17, P1-FR-18</x:v>
      </x:c>
      <x:c r="Q15" s="12" t="str">
        <x:v>Mới giao một kiện thì chưa ghi toàn đơn là đã thanh toán. Sổ thu tiền thực tế theo từng kiện nằm ngoài phạm vi.</x:v>
      </x:c>
      <x:c r="R15" s="12" t="str">
        <x:v>Mã SYN-GIAM50
Giảm số tiền cố định
(fixed); tiền hàng tối thiểu 500.000đ; giảm 50.000đ.
Mã giả định, không phải mã có sẵn trong ứng dụng.</x:v>
      </x:c>
    </x:row>
    <x:row r="16" ht="90" customHeight="1">
      <x:c r="A16" s="11" t="str">
        <x:v>SYN-HS-DH-11</x:v>
      </x:c>
      <x:c r="B16" s="11" t="str">
        <x:v>N6</x:v>
      </x:c>
      <x:c r="C16" s="11" t="str">
        <x:v>Đơn thanh toán trực tuyến có hai kiện đã xuất, chưa xác nhận giao đến khách.</x:v>
      </x:c>
      <x:c r="D16" s="11" t="str">
        <x:v>Thanh toán trực tuyến
(online)</x:v>
      </x:c>
      <x:c r="E16" s="11" t="str">
        <x:v>Đã bàn giao vận chuyển
(shipped)</x:v>
      </x:c>
      <x:c r="F16" s="11" t="str">
        <x:v>Đã thanh toán
(paid)</x:v>
      </x:c>
      <x:c r="G16" s="11" t="str">
        <x:v>Thành công
(succeeded)</x:v>
      </x:c>
      <x:c r="H16" s="11" t="str">
        <x:v>Đã bàn giao vận chuyển
(shipped)</x:v>
      </x:c>
      <x:c r="I16" s="28" t="n">
        <x:f>SUMIF('DongHang'!$A$6:$A$35,A16,'DongHang'!$G$6:$G$35)</x:f>
        <x:v>1100000</x:v>
      </x:c>
      <x:c r="J16" s="26" t="n">
        <x:v>50000</x:v>
      </x:c>
      <x:c r="K16" s="26" t="n">
        <x:v>40000</x:v>
      </x:c>
      <x:c r="L16" s="28" t="n">
        <x:f>I16-J16+K16</x:f>
        <x:v>1090000</x:v>
      </x:c>
      <x:c r="M16" s="26" t="n">
        <x:v>1090000</x:v>
      </x:c>
      <x:c r="N16" s="24" t="str">
        <x:f>IF(L16=M16,"KHỚP","LỖI TIỀN")</x:f>
        <x:v>KHỚP</x:v>
      </x:c>
      <x:c r="O16" s="11" t="n">
        <x:v>2</x:v>
      </x:c>
      <x:c r="P16" s="11" t="str">
        <x:v>P1-FR-09, P1-FR-13, P1-FR-18</x:v>
      </x:c>
      <x:c r="Q16" s="11" t="str">
        <x:v>Hàng giữ chỗ của cả hai kiện đã xuất kho. Kiện chưa giao đến khách không làm đổi khoản thanh toán đã thu.</x:v>
      </x:c>
      <x:c r="R16" s="11" t="str">
        <x:v>Mã SYN-GIAM50
Giảm số tiền cố định
(fixed); tiền hàng tối thiểu 500.000đ; giảm 50.000đ.
Mã giả định, không phải mã có sẵn trong ứng dụng.</x:v>
      </x:c>
    </x:row>
    <x:row r="17" ht="90" customHeight="1">
      <x:c r="A17" s="12" t="str">
        <x:v>SYN-HS-DH-12</x:v>
      </x:c>
      <x:c r="B17" s="12" t="str">
        <x:v>N6</x:v>
      </x:c>
      <x:c r="C17" s="12" t="str">
        <x:v>Hủy toàn bộ đơn trả khi nhận hàng trước khi xuất kho.</x:v>
      </x:c>
      <x:c r="D17" s="12" t="str">
        <x:v>Trả khi nhận hàng
(cod)</x:v>
      </x:c>
      <x:c r="E17" s="12" t="str">
        <x:v>Đã hủy
(cancelled)</x:v>
      </x:c>
      <x:c r="F17" s="12" t="str">
        <x:v>Đã hủy
(cancelled)</x:v>
      </x:c>
      <x:c r="G17" s="12" t="str">
        <x:v>Đã hủy
(cancelled)</x:v>
      </x:c>
      <x:c r="H17" s="12" t="str">
        <x:v>Đã hủy
(cancelled)</x:v>
      </x:c>
      <x:c r="I17" s="29" t="n">
        <x:f>SUMIF('DongHang'!$A$6:$A$35,A17,'DongHang'!$G$6:$G$35)</x:f>
        <x:v>250000</x:v>
      </x:c>
      <x:c r="J17" s="27" t="n">
        <x:v>0</x:v>
      </x:c>
      <x:c r="K17" s="27" t="n">
        <x:v>30000</x:v>
      </x:c>
      <x:c r="L17" s="29" t="n">
        <x:f>I17-J17+K17</x:f>
        <x:v>280000</x:v>
      </x:c>
      <x:c r="M17" s="27" t="n">
        <x:v>280000</x:v>
      </x:c>
      <x:c r="N17" s="25" t="str">
        <x:f>IF(L17=M17,"KHỚP","LỖI TIỀN")</x:f>
        <x:v>KHỚP</x:v>
      </x:c>
      <x:c r="O17" s="12" t="n">
        <x:v>1</x:v>
      </x:c>
      <x:c r="P17" s="12" t="str">
        <x:v>P1-FR-11, P1-FR-13, P1-FR-19</x:v>
      </x:c>
      <x:c r="Q17" s="12" t="str">
        <x:v>Chỉ trả lại phần hàng giữ chỗ, không trừ tồn thực tế. Tiền lưu trong mẫu là lịch sử, không phải khoản còn phải thu.</x:v>
      </x:c>
      <x:c r="R17" s="12" t="str">
        <x:v>Không áp mã</x:v>
      </x:c>
    </x:row>
    <x:row r="18" ht="90" customHeight="1">
      <x:c r="A18" s="11" t="str">
        <x:v>SYN-HS-DH-13</x:v>
      </x:c>
      <x:c r="B18" s="11" t="str">
        <x:v>N6</x:v>
      </x:c>
      <x:c r="C18" s="11" t="str">
        <x:v>Hủy đơn trực tuyến chưa trả tiền bằng thao tác hủy, không phải xử lý tự động khi hết hạn.</x:v>
      </x:c>
      <x:c r="D18" s="11" t="str">
        <x:v>Thanh toán trực tuyến
(online)</x:v>
      </x:c>
      <x:c r="E18" s="11" t="str">
        <x:v>Đã hủy
(cancelled)</x:v>
      </x:c>
      <x:c r="F18" s="11" t="str">
        <x:v>Đã hủy
(cancelled)</x:v>
      </x:c>
      <x:c r="G18" s="11" t="str">
        <x:v>Đã hủy
(cancelled)</x:v>
      </x:c>
      <x:c r="H18" s="11" t="str">
        <x:v>Đã hủy
(cancelled)</x:v>
      </x:c>
      <x:c r="I18" s="28" t="n">
        <x:f>SUMIF('DongHang'!$A$6:$A$35,A18,'DongHang'!$G$6:$G$35)</x:f>
        <x:v>650000</x:v>
      </x:c>
      <x:c r="J18" s="26" t="n">
        <x:v>50000</x:v>
      </x:c>
      <x:c r="K18" s="26" t="n">
        <x:v>30000</x:v>
      </x:c>
      <x:c r="L18" s="28" t="n">
        <x:f>I18-J18+K18</x:f>
        <x:v>630000</x:v>
      </x:c>
      <x:c r="M18" s="26" t="n">
        <x:v>630000</x:v>
      </x:c>
      <x:c r="N18" s="24" t="str">
        <x:f>IF(L18=M18,"KHỚP","LỖI TIỀN")</x:f>
        <x:v>KHỚP</x:v>
      </x:c>
      <x:c r="O18" s="11" t="n">
        <x:v>1</x:v>
      </x:c>
      <x:c r="P18" s="11" t="str">
        <x:v>P1-FR-09, P1-FR-11, P1-FR-13</x:v>
      </x:c>
      <x:c r="Q18" s="11" t="str">
        <x:v>Trạng thái thanh toán trên đơn và bản ghi thanh toán đều đã hủy. Mẫu này không dùng nhánh lỗi KD-INV-01 và không chứng minh lỗi đã được sửa.</x:v>
      </x:c>
      <x:c r="R18" s="11" t="str">
        <x:v>Mã SYN-GIAM50
Giảm số tiền cố định
(fixed); tiền hàng tối thiểu 500.000đ; giảm 50.000đ.
Mã giả định, không phải mã có sẵn trong ứng dụng.</x:v>
      </x:c>
    </x:row>
    <x:row r="19" ht="90" customHeight="1">
      <x:c r="A19" s="12" t="str">
        <x:v>SYN-HS-DH-14</x:v>
      </x:c>
      <x:c r="B19" s="12" t="str">
        <x:v>N6</x:v>
      </x:c>
      <x:c r="C19" s="12" t="str">
        <x:v>Đã thanh toán trực tuyến; nhận thông báo hoàn toàn bộ tiền giả lập rồi hủy cả hai kiện.</x:v>
      </x:c>
      <x:c r="D19" s="12" t="str">
        <x:v>Thanh toán trực tuyến
(online)</x:v>
      </x:c>
      <x:c r="E19" s="12" t="str">
        <x:v>Đã hủy
(cancelled)</x:v>
      </x:c>
      <x:c r="F19" s="12" t="str">
        <x:v>Đã hoàn tiền
(refunded)</x:v>
      </x:c>
      <x:c r="G19" s="12" t="str">
        <x:v>Đã hoàn tiền
(refunded)</x:v>
      </x:c>
      <x:c r="H19" s="12" t="str">
        <x:v>Đã hủy
(cancelled)</x:v>
      </x:c>
      <x:c r="I19" s="29" t="n">
        <x:f>SUMIF('DongHang'!$A$6:$A$35,A19,'DongHang'!$G$6:$G$35)</x:f>
        <x:v>850000</x:v>
      </x:c>
      <x:c r="J19" s="27" t="n">
        <x:v>50000</x:v>
      </x:c>
      <x:c r="K19" s="27" t="n">
        <x:v>40000</x:v>
      </x:c>
      <x:c r="L19" s="29" t="n">
        <x:f>I19-J19+K19</x:f>
        <x:v>840000</x:v>
      </x:c>
      <x:c r="M19" s="27" t="n">
        <x:v>840000</x:v>
      </x:c>
      <x:c r="N19" s="25" t="str">
        <x:f>IF(L19=M19,"KHỚP","LỖI TIỀN")</x:f>
        <x:v>KHỚP</x:v>
      </x:c>
      <x:c r="O19" s="12" t="n">
        <x:v>2</x:v>
      </x:c>
      <x:c r="P19" s="12" t="str">
        <x:v>P1-FR-09, P1-FR-11, P1-FR-19</x:v>
      </x:c>
      <x:c r="Q19" s="12" t="str">
        <x:v>Không hủy trực tiếp đơn đã trả tiền hoặc đã được phép thu tiền. Đây chỉ là thông báo hoàn tiền giả lập; quản trị chưa có thao tác hoàn tiền và không có tiền ngân hàng được chuyển.</x:v>
      </x:c>
      <x:c r="R19" s="12" t="str">
        <x:v>Mã SYN-GIAM50
Giảm số tiền cố định
(fixed); tiền hàng tối thiểu 500.000đ; giảm 50.000đ.
Mã giả định, không phải mã có sẵn trong ứng dụng.</x:v>
      </x:c>
    </x:row>
    <x:row r="20" ht="90" customHeight="1">
      <x:c r="A20" s="11" t="str">
        <x:v>SYN-HS-DH-15</x:v>
      </x:c>
      <x:c r="B20" s="11" t="str">
        <x:v>N6</x:v>
      </x:c>
      <x:c r="C20" s="11" t="str">
        <x:v>Đơn trả khi nhận hàng giao thất bại sau khi bàn giao, đang sắp xếp lại.</x:v>
      </x:c>
      <x:c r="D20" s="11" t="str">
        <x:v>Trả khi nhận hàng
(cod)</x:v>
      </x:c>
      <x:c r="E20" s="11" t="str">
        <x:v>Đang xử lý
(processing)</x:v>
      </x:c>
      <x:c r="F20" s="11" t="str">
        <x:v>Chờ thu khi giao
(cod_pending)</x:v>
      </x:c>
      <x:c r="G20" s="11" t="str">
        <x:v>Đang chờ
(pending)</x:v>
      </x:c>
      <x:c r="H20" s="11" t="str">
        <x:v>Đã giữ hàng
(reserved)</x:v>
      </x:c>
      <x:c r="I20" s="28" t="n">
        <x:f>SUMIF('DongHang'!$A$6:$A$35,A20,'DongHang'!$G$6:$G$35)</x:f>
        <x:v>320000</x:v>
      </x:c>
      <x:c r="J20" s="26" t="n">
        <x:v>0</x:v>
      </x:c>
      <x:c r="K20" s="26" t="n">
        <x:v>30000</x:v>
      </x:c>
      <x:c r="L20" s="28" t="n">
        <x:f>I20-J20+K20</x:f>
        <x:v>350000</x:v>
      </x:c>
      <x:c r="M20" s="26" t="n">
        <x:v>350000</x:v>
      </x:c>
      <x:c r="N20" s="24" t="str">
        <x:f>IF(L20=M20,"KHỚP","LỖI TIỀN")</x:f>
        <x:v>KHỚP</x:v>
      </x:c>
      <x:c r="O20" s="11" t="n">
        <x:v>1</x:v>
      </x:c>
      <x:c r="P20" s="11" t="str">
        <x:v>P1-FR-13, P1-FR-18, P1-FR-19</x:v>
      </x:c>
      <x:c r="Q20" s="11" t="str">
        <x:v>Hàm reconcileOrder hiện ghi đơn đang xử lý và đã giữ hàng khi kiện đơn lẻ giao thất bại, dù hàng giữ chỗ đã xuất. Không dùng nhãn tổng hợp này thay cho trạng thái tồn kho.</x:v>
      </x:c>
      <x:c r="R20" s="11" t="str">
        <x:v>Không áp mã</x:v>
      </x:c>
    </x:row>
    <x:row r="21" ht="90" customHeight="1">
      <x:c r="A21" s="12" t="str">
        <x:v>SYN-HS-DH-16</x:v>
      </x:c>
      <x:c r="B21" s="12" t="str">
        <x:v>N7</x:v>
      </x:c>
      <x:c r="C21" s="12" t="str">
        <x:v>Đơn trực tuyến đã trả tiền, giao thất bại sau khi xuất kho.</x:v>
      </x:c>
      <x:c r="D21" s="12" t="str">
        <x:v>Thanh toán trực tuyến
(online)</x:v>
      </x:c>
      <x:c r="E21" s="12" t="str">
        <x:v>Đang xử lý
(processing)</x:v>
      </x:c>
      <x:c r="F21" s="12" t="str">
        <x:v>Đã thanh toán
(paid)</x:v>
      </x:c>
      <x:c r="G21" s="12" t="str">
        <x:v>Thành công
(succeeded)</x:v>
      </x:c>
      <x:c r="H21" s="12" t="str">
        <x:v>Đã giữ hàng
(reserved)</x:v>
      </x:c>
      <x:c r="I21" s="29" t="n">
        <x:f>SUMIF('DongHang'!$A$6:$A$35,A21,'DongHang'!$G$6:$G$35)</x:f>
        <x:v>780000</x:v>
      </x:c>
      <x:c r="J21" s="27" t="n">
        <x:v>50000</x:v>
      </x:c>
      <x:c r="K21" s="27" t="n">
        <x:v>30000</x:v>
      </x:c>
      <x:c r="L21" s="29" t="n">
        <x:f>I21-J21+K21</x:f>
        <x:v>760000</x:v>
      </x:c>
      <x:c r="M21" s="27" t="n">
        <x:v>760000</x:v>
      </x:c>
      <x:c r="N21" s="25" t="str">
        <x:f>IF(L21=M21,"KHỚP","LỖI TIỀN")</x:f>
        <x:v>KHỚP</x:v>
      </x:c>
      <x:c r="O21" s="12" t="n">
        <x:v>1</x:v>
      </x:c>
      <x:c r="P21" s="12" t="str">
        <x:v>P1-FR-09, P1-FR-13, P1-FR-18, P1-FR-19</x:v>
      </x:c>
      <x:c r="Q21" s="12" t="str">
        <x:v>Hệ thống tổng hợp giao thất bại thành đang xử lý và đã giữ hàng, dù hàng đã xuất. Cần xem bản ghi giữ hàng và lịch sử; giao lỗi không tự hoàn tiền.</x:v>
      </x:c>
      <x:c r="R21" s="12" t="str">
        <x:v>Mã SYN-GIAM50
Giảm số tiền cố định
(fixed); tiền hàng tối thiểu 500.000đ; giảm 50.000đ.
Mã giả định, không phải mã có sẵn trong ứng dụng.</x:v>
      </x:c>
    </x:row>
    <x:row r="22" ht="90" customHeight="1">
      <x:c r="A22" s="11" t="str">
        <x:v>SYN-HS-DH-17</x:v>
      </x:c>
      <x:c r="B22" s="11" t="str">
        <x:v>N7</x:v>
      </x:c>
      <x:c r="C22" s="11" t="str">
        <x:v>Đơn trả khi nhận hàng bị trả về toàn bộ sau bàn giao, chưa thu tiền.</x:v>
      </x:c>
      <x:c r="D22" s="11" t="str">
        <x:v>Trả khi nhận hàng
(cod)</x:v>
      </x:c>
      <x:c r="E22" s="11" t="str">
        <x:v>Hàng đã trả về
(returned)</x:v>
      </x:c>
      <x:c r="F22" s="11" t="str">
        <x:v>Đã hủy
(cancelled)</x:v>
      </x:c>
      <x:c r="G22" s="11" t="str">
        <x:v>Đã hủy
(cancelled)</x:v>
      </x:c>
      <x:c r="H22" s="11" t="str">
        <x:v>Hàng đã trả về
(returned)</x:v>
      </x:c>
      <x:c r="I22" s="28" t="n">
        <x:f>SUMIF('DongHang'!$A$6:$A$35,A22,'DongHang'!$G$6:$G$35)</x:f>
        <x:v>250000</x:v>
      </x:c>
      <x:c r="J22" s="26" t="n">
        <x:v>0</x:v>
      </x:c>
      <x:c r="K22" s="26" t="n">
        <x:v>30000</x:v>
      </x:c>
      <x:c r="L22" s="28" t="n">
        <x:f>I22-J22+K22</x:f>
        <x:v>280000</x:v>
      </x:c>
      <x:c r="M22" s="26" t="n">
        <x:v>280000</x:v>
      </x:c>
      <x:c r="N22" s="24" t="str">
        <x:f>IF(L22=M22,"KHỚP","LỖI TIỀN")</x:f>
        <x:v>KHỚP</x:v>
      </x:c>
      <x:c r="O22" s="11" t="n">
        <x:v>1</x:v>
      </x:c>
      <x:c r="P22" s="11" t="str">
        <x:v>P1-FR-13, P1-FR-14, P1-FR-19</x:v>
      </x:c>
      <x:c r="Q22" s="11" t="str">
        <x:v>Hàng giữ chỗ vẫn được ghi đã xuất. Phiếu SYN-HS-KHO-03 minh họa nhập lại một chiếc sau kiểm tra trong một tình huống giả định độc lập.</x:v>
      </x:c>
      <x:c r="R22" s="11" t="str">
        <x:v>Không áp mã</x:v>
      </x:c>
    </x:row>
    <x:row r="23" ht="90" customHeight="1">
      <x:c r="A23" s="12" t="str">
        <x:v>SYN-HS-DH-18</x:v>
      </x:c>
      <x:c r="B23" s="12" t="str">
        <x:v>N7</x:v>
      </x:c>
      <x:c r="C23" s="12" t="str">
        <x:v>Đơn trực tuyến đã trả hàng; việc ghi hoàn toàn bộ tiền giả lập đã xong.</x:v>
      </x:c>
      <x:c r="D23" s="12" t="str">
        <x:v>Thanh toán trực tuyến
(online)</x:v>
      </x:c>
      <x:c r="E23" s="12" t="str">
        <x:v>Hàng đã trả về
(returned)</x:v>
      </x:c>
      <x:c r="F23" s="12" t="str">
        <x:v>Đã hoàn tiền
(refunded)</x:v>
      </x:c>
      <x:c r="G23" s="12" t="str">
        <x:v>Đã hoàn tiền
(refunded)</x:v>
      </x:c>
      <x:c r="H23" s="12" t="str">
        <x:v>Hàng đã trả về
(returned)</x:v>
      </x:c>
      <x:c r="I23" s="29" t="n">
        <x:f>SUMIF('DongHang'!$A$6:$A$35,A23,'DongHang'!$G$6:$G$35)</x:f>
        <x:v>650000</x:v>
      </x:c>
      <x:c r="J23" s="27" t="n">
        <x:v>50000</x:v>
      </x:c>
      <x:c r="K23" s="27" t="n">
        <x:v>30000</x:v>
      </x:c>
      <x:c r="L23" s="29" t="n">
        <x:f>I23-J23+K23</x:f>
        <x:v>630000</x:v>
      </x:c>
      <x:c r="M23" s="27" t="n">
        <x:v>630000</x:v>
      </x:c>
      <x:c r="N23" s="25" t="str">
        <x:f>IF(L23=M23,"KHỚP","LỖI TIỀN")</x:f>
        <x:v>KHỚP</x:v>
      </x:c>
      <x:c r="O23" s="12" t="n">
        <x:v>1</x:v>
      </x:c>
      <x:c r="P23" s="12" t="str">
        <x:v>P1-FR-09, P1-FR-19, P1-FR-23</x:v>
      </x:c>
      <x:c r="Q23" s="12" t="str">
        <x:v>Hàng trả về và hoàn tiền là hai việc riêng. Chưa có phiếu nhập lại nên hệ thống không tự cộng tồn.</x:v>
      </x:c>
      <x:c r="R23" s="12" t="str">
        <x:v>Mã SYN-GIAM50
Giảm số tiền cố định
(fixed); tiền hàng tối thiểu 500.000đ; giảm 50.000đ.
Mã giả định, không phải mã có sẵn trong ứng dụng.</x:v>
      </x:c>
    </x:row>
    <x:row r="24" ht="90" customHeight="1">
      <x:c r="A24" s="11" t="str">
        <x:v>SYN-HS-DH-19</x:v>
      </x:c>
      <x:c r="B24" s="11" t="str">
        <x:v>N7</x:v>
      </x:c>
      <x:c r="C24" s="11" t="str">
        <x:v>Đơn trả khi nhận hàng có hai kiện đều trả về; không trộn kiện đã giao với kiện trả về.</x:v>
      </x:c>
      <x:c r="D24" s="11" t="str">
        <x:v>Trả khi nhận hàng
(cod)</x:v>
      </x:c>
      <x:c r="E24" s="11" t="str">
        <x:v>Hàng đã trả về
(returned)</x:v>
      </x:c>
      <x:c r="F24" s="11" t="str">
        <x:v>Đã hủy
(cancelled)</x:v>
      </x:c>
      <x:c r="G24" s="11" t="str">
        <x:v>Đã hủy
(cancelled)</x:v>
      </x:c>
      <x:c r="H24" s="11" t="str">
        <x:v>Hàng đã trả về
(returned)</x:v>
      </x:c>
      <x:c r="I24" s="28" t="n">
        <x:f>SUMIF('DongHang'!$A$6:$A$35,A24,'DongHang'!$G$6:$G$35)</x:f>
        <x:v>850000</x:v>
      </x:c>
      <x:c r="J24" s="26" t="n">
        <x:v>50000</x:v>
      </x:c>
      <x:c r="K24" s="26" t="n">
        <x:v>40000</x:v>
      </x:c>
      <x:c r="L24" s="28" t="n">
        <x:f>I24-J24+K24</x:f>
        <x:v>840000</x:v>
      </x:c>
      <x:c r="M24" s="26" t="n">
        <x:v>840000</x:v>
      </x:c>
      <x:c r="N24" s="24" t="str">
        <x:f>IF(L24=M24,"KHỚP","LỖI TIỀN")</x:f>
        <x:v>KHỚP</x:v>
      </x:c>
      <x:c r="O24" s="11" t="n">
        <x:v>2</x:v>
      </x:c>
      <x:c r="P24" s="11" t="str">
        <x:v>P1-FR-08, P1-FR-13, P1-FR-19</x:v>
      </x:c>
      <x:c r="Q24" s="11" t="str">
        <x:v>Tất cả kiện đã trả về nên thanh toán bị hủy. Hệ thống không tự cộng lại tồn ở hai kho.</x:v>
      </x:c>
      <x:c r="R24" s="11" t="str">
        <x:v>Mã SYN-GIAM50
Giảm số tiền cố định
(fixed); tiền hàng tối thiểu 500.000đ; giảm 50.000đ.
Mã giả định, không phải mã có sẵn trong ứng dụng.</x:v>
      </x:c>
    </x:row>
    <x:row r="25" ht="90" customHeight="1">
      <x:c r="A25" s="12" t="str">
        <x:v>SYN-HS-DH-20</x:v>
      </x:c>
      <x:c r="B25" s="12" t="str">
        <x:v>N7</x:v>
      </x:c>
      <x:c r="C25" s="12" t="str">
        <x:v>Đơn trực tuyến có hai kiện trả về nhưng chưa nhận thông báo hoàn tiền.</x:v>
      </x:c>
      <x:c r="D25" s="12" t="str">
        <x:v>Thanh toán trực tuyến
(online)</x:v>
      </x:c>
      <x:c r="E25" s="12" t="str">
        <x:v>Hàng đã trả về
(returned)</x:v>
      </x:c>
      <x:c r="F25" s="12" t="str">
        <x:v>Đã thanh toán
(paid)</x:v>
      </x:c>
      <x:c r="G25" s="12" t="str">
        <x:v>Thành công
(succeeded)</x:v>
      </x:c>
      <x:c r="H25" s="12" t="str">
        <x:v>Hàng đã trả về
(returned)</x:v>
      </x:c>
      <x:c r="I25" s="29" t="n">
        <x:f>SUMIF('DongHang'!$A$6:$A$35,A25,'DongHang'!$G$6:$G$35)</x:f>
        <x:v>950000</x:v>
      </x:c>
      <x:c r="J25" s="27" t="n">
        <x:v>50000</x:v>
      </x:c>
      <x:c r="K25" s="27" t="n">
        <x:v>40000</x:v>
      </x:c>
      <x:c r="L25" s="29" t="n">
        <x:f>I25-J25+K25</x:f>
        <x:v>940000</x:v>
      </x:c>
      <x:c r="M25" s="27" t="n">
        <x:v>940000</x:v>
      </x:c>
      <x:c r="N25" s="25" t="str">
        <x:f>IF(L25=M25,"KHỚP","LỖI TIỀN")</x:f>
        <x:v>KHỚP</x:v>
      </x:c>
      <x:c r="O25" s="12" t="n">
        <x:v>2</x:v>
      </x:c>
      <x:c r="P25" s="12" t="str">
        <x:v>P1-FR-09, P1-FR-19, P1-FR-23</x:v>
      </x:c>
      <x:c r="Q25" s="12" t="str">
        <x:v>Đơn đã trả hàng nhưng vẫn đã thanh toán là đúng nếu chưa hoàn tiền. Không được ghi là đã hoàn tiền; hiện chưa có thao tác tự phục vụ cho khách.</x:v>
      </x:c>
      <x:c r="R25" s="12" t="str">
        <x:v>Mã SYN-GIAM50
Giảm số tiền cố định
(fixed); tiền hàng tối thiểu 500.000đ; giảm 50.000đ.
Mã giả định, không phải mã có sẵn trong ứng dụng.</x:v>
      </x:c>
    </x:row>
    <x:row r="26" ht="24" customHeight="1">
      <x:c r="A26" s="2"/>
      <x:c r="B26" s="2"/>
      <x:c r="C26" s="2"/>
      <x:c r="D26" s="2"/>
      <x:c r="E26" s="2"/>
      <x:c r="F26" s="2"/>
      <x:c r="G26" s="2"/>
      <x:c r="H26" s="2"/>
      <x:c r="I26" s="2"/>
      <x:c r="J26" s="2"/>
      <x:c r="K26" s="2"/>
      <x:c r="L26" s="2"/>
      <x:c r="M26" s="2"/>
      <x:c r="N26" s="2"/>
      <x:c r="O26" s="2"/>
      <x:c r="P26" s="2"/>
      <x:c r="Q26" s="2"/>
      <x:c r="R26" s="2"/>
    </x:row>
    <x:row r="27" ht="24" customHeight="1">
      <x:c r="A27" s="2"/>
      <x:c r="B27" s="2"/>
      <x:c r="C27" s="2"/>
      <x:c r="D27" s="2"/>
      <x:c r="E27" s="2"/>
      <x:c r="F27" s="2"/>
      <x:c r="G27" s="2"/>
      <x:c r="H27" s="2"/>
      <x:c r="I27" s="2"/>
      <x:c r="J27" s="2"/>
      <x:c r="K27" s="2"/>
      <x:c r="L27" s="2"/>
      <x:c r="M27" s="2"/>
      <x:c r="N27" s="2"/>
      <x:c r="O27" s="2"/>
      <x:c r="P27" s="2"/>
      <x:c r="Q27" s="2"/>
      <x:c r="R27" s="2"/>
    </x:row>
    <x:row r="28" ht="24" customHeight="1">
      <x:c r="A28" s="2"/>
      <x:c r="B28" s="2"/>
      <x:c r="C28" s="2"/>
      <x:c r="D28" s="2"/>
      <x:c r="E28" s="2"/>
      <x:c r="F28" s="2"/>
      <x:c r="G28" s="2"/>
      <x:c r="H28" s="2"/>
      <x:c r="I28" s="2"/>
      <x:c r="J28" s="2"/>
      <x:c r="K28" s="2"/>
      <x:c r="L28" s="2"/>
      <x:c r="M28" s="2"/>
      <x:c r="N28" s="2"/>
      <x:c r="O28" s="2"/>
      <x:c r="P28" s="2"/>
      <x:c r="Q28" s="2"/>
      <x:c r="R28" s="2"/>
    </x:row>
    <x:row r="29" ht="24" customHeight="1">
      <x:c r="A29" s="2"/>
      <x:c r="B29" s="2"/>
      <x:c r="C29" s="2"/>
      <x:c r="D29" s="2"/>
      <x:c r="E29" s="2"/>
      <x:c r="F29" s="2"/>
      <x:c r="G29" s="2"/>
      <x:c r="H29" s="2"/>
      <x:c r="I29" s="2"/>
      <x:c r="J29" s="2"/>
      <x:c r="K29" s="2"/>
      <x:c r="L29" s="2"/>
      <x:c r="M29" s="2"/>
      <x:c r="N29" s="2"/>
      <x:c r="O29" s="2"/>
      <x:c r="P29" s="2"/>
      <x:c r="Q29" s="2"/>
      <x:c r="R29" s="2"/>
    </x:row>
    <x:row r="30" ht="24" customHeight="1">
      <x:c r="A30" s="2"/>
      <x:c r="B30" s="2"/>
      <x:c r="C30" s="2"/>
      <x:c r="D30" s="2"/>
      <x:c r="E30" s="2"/>
      <x:c r="F30" s="2"/>
      <x:c r="G30" s="2"/>
      <x:c r="H30" s="2"/>
      <x:c r="I30" s="2"/>
      <x:c r="J30" s="2"/>
      <x:c r="K30" s="2"/>
      <x:c r="L30" s="2"/>
      <x:c r="M30" s="2"/>
      <x:c r="N30" s="2"/>
      <x:c r="O30" s="2"/>
      <x:c r="P30" s="2"/>
      <x:c r="Q30" s="2"/>
      <x:c r="R30" s="2"/>
    </x:row>
  </x:sheetData>
  <x:mergeCells>
    <x:mergeCell ref="A1:J1"/>
    <x:mergeCell ref="A2:J3"/>
  </x:mergeCells>
  <x:conditionalFormatting sqref="N6:N25">
    <x:cfRule type="containsText" dxfId="10" priority="1" operator="containsText" text="LỖI"/>
    <x:cfRule type="containsText" dxfId="11" priority="2" operator="containsText" text="KHỚP"/>
  </x:conditionalFormatting>
  <x:pageMargins left="0.7" right="0.7" top="0.75" bottom="0.75" header="0.3" footer="0.3"/>
  <x:tableParts count="1">
    <x:tablePart xmlns:r="http://schemas.openxmlformats.org/officeDocument/2006/relationships" r:id="R501b49fe5f794d2c"/>
  </x:tableParts>
</x:worksheet>
</file>

<file path=xl/worksheets/sheet7.xml><?xml version="1.0" encoding="utf-8"?>
<x:worksheet xmlns:x="http://schemas.openxmlformats.org/spreadsheetml/2006/main">
  <x:sheetViews>
    <x:sheetView showGridLines="0" workbookViewId="0"/>
  </x:sheetViews>
  <x:sheetFormatPr defaultRowHeight="15"/>
  <x:cols>
    <x:col min="1" max="1" width="23" hidden="0" customWidth="1"/>
    <x:col min="2" max="2" width="28" hidden="0" customWidth="1"/>
    <x:col min="3" max="3" width="25" hidden="0" customWidth="1"/>
    <x:col min="4" max="4" width="22" hidden="0" customWidth="1"/>
    <x:col min="5" max="5" width="24" hidden="0" customWidth="1"/>
    <x:col min="6" max="6" width="28" hidden="0" customWidth="1"/>
    <x:col min="7" max="7" width="48" hidden="0" customWidth="1"/>
    <x:col min="8" max="8" width="57" hidden="0" customWidth="1"/>
    <x:col min="9" max="9" width="18" hidden="0" customWidth="1"/>
    <x:col min="10" max="10" width="15" hidden="0" customWidth="1"/>
  </x:cols>
  <x:sheetData>
    <x:row r="1" ht="38" customHeight="1">
      <x:c r="A1" s="4" t="str">
        <x:v>CHI TIẾT ĐƠN GIẢ LẬP</x:v>
      </x:c>
      <x:c r="B1" s="4"/>
      <x:c r="C1" s="4"/>
      <x:c r="D1" s="4"/>
      <x:c r="E1" s="4"/>
      <x:c r="F1" s="4"/>
      <x:c r="G1" s="4"/>
      <x:c r="H1" s="4"/>
      <x:c r="I1" s="4"/>
      <x:c r="J1" s="4"/>
      <x:c r="K1" s="2"/>
      <x:c r="L1" s="2"/>
    </x:row>
    <x:row r="2" ht="24" customHeight="1">
      <x:c r="A2" s="6" t="str">
        <x:v>SYN = dữ liệu giả lập. Mỗi đơn là một tình huống riêng, không phải doanh số thật. SKU là mã riêng cho từng mẫu, cỡ và màu; tiền tính bằng đồng Việt Nam (VND).</x:v>
      </x:c>
      <x:c r="B2" s="6"/>
      <x:c r="C2" s="6"/>
      <x:c r="D2" s="6"/>
      <x:c r="E2" s="6"/>
      <x:c r="F2" s="6"/>
      <x:c r="G2" s="6"/>
      <x:c r="H2" s="6"/>
      <x:c r="I2" s="6"/>
      <x:c r="J2" s="6"/>
      <x:c r="K2" s="2"/>
      <x:c r="L2" s="2"/>
    </x:row>
    <x:row r="3" ht="24" customHeight="1">
      <x:c r="A3" s="6"/>
      <x:c r="B3" s="6"/>
      <x:c r="C3" s="6"/>
      <x:c r="D3" s="6"/>
      <x:c r="E3" s="6"/>
      <x:c r="F3" s="6"/>
      <x:c r="G3" s="6"/>
      <x:c r="H3" s="6"/>
      <x:c r="I3" s="6"/>
      <x:c r="J3" s="6"/>
      <x:c r="K3" s="2"/>
      <x:c r="L3" s="2"/>
    </x:row>
    <x:row r="4" ht="12" customHeight="1">
      <x:c r="A4" s="2"/>
      <x:c r="B4" s="2"/>
      <x:c r="C4" s="2"/>
      <x:c r="D4" s="2"/>
      <x:c r="E4" s="2"/>
      <x:c r="F4" s="2"/>
      <x:c r="G4" s="2"/>
      <x:c r="H4" s="2"/>
      <x:c r="I4" s="2"/>
      <x:c r="J4" s="2"/>
      <x:c r="K4" s="2"/>
      <x:c r="L4" s="2"/>
    </x:row>
    <x:row r="5" ht="42" customHeight="1">
      <x:c r="A5" s="9" t="str">
        <x:v>Mã đơn giả lập</x:v>
      </x:c>
      <x:c r="B5" s="9" t="str">
        <x:v>Mã dòng</x:v>
      </x:c>
      <x:c r="C5" s="9" t="str">
        <x:v>Mã hàng (SKU)</x:v>
      </x:c>
      <x:c r="D5" s="9" t="str">
        <x:v>Kho</x:v>
      </x:c>
      <x:c r="E5" s="9" t="str">
        <x:v>Số lượng</x:v>
      </x:c>
      <x:c r="F5" s="9" t="str">
        <x:v>Đơn giá (đồng)</x:v>
      </x:c>
      <x:c r="G5" s="9" t="str">
        <x:v>Thành tiền: tính</x:v>
      </x:c>
      <x:c r="H5" s="9" t="str">
        <x:v>Thành tiền: nguồn</x:v>
      </x:c>
      <x:c r="I5" s="9" t="str">
        <x:v>Đối chiếu</x:v>
      </x:c>
      <x:c r="J5" s="9" t="str">
        <x:v>Nhãn</x:v>
      </x:c>
      <x:c r="K5" s="2"/>
      <x:c r="L5" s="2"/>
    </x:row>
    <x:row r="6" ht="28" customHeight="1">
      <x:c r="A6" s="11" t="str">
        <x:v>SYN-HS-DH-01</x:v>
      </x:c>
      <x:c r="B6" s="11" t="str">
        <x:v>SYN-HS-DH-01-L1</x:v>
      </x:c>
      <x:c r="C6" s="11" t="str">
        <x:v>SYN-TEE-BLK-M</x:v>
      </x:c>
      <x:c r="D6" s="11" t="str">
        <x:v>SYN-KHO-HN</x:v>
      </x:c>
      <x:c r="E6" s="26" t="n">
        <x:v>2</x:v>
      </x:c>
      <x:c r="F6" s="26" t="n">
        <x:v>250000</x:v>
      </x:c>
      <x:c r="G6" s="28" t="n">
        <x:f>E6*F6</x:f>
        <x:v>500000</x:v>
      </x:c>
      <x:c r="H6" s="26" t="n">
        <x:v>500000</x:v>
      </x:c>
      <x:c r="I6" s="24" t="str">
        <x:f>IF(G6=H6,"KHỚP","LỖI TIỀN")</x:f>
        <x:v>KHỚP</x:v>
      </x:c>
      <x:c r="J6" s="11" t="str">
        <x:v>SYN</x:v>
      </x:c>
      <x:c r="K6" s="2"/>
      <x:c r="L6" s="2"/>
    </x:row>
    <x:row r="7" ht="28" customHeight="1">
      <x:c r="A7" s="12" t="str">
        <x:v>SYN-HS-DH-02</x:v>
      </x:c>
      <x:c r="B7" s="12" t="str">
        <x:v>SYN-HS-DH-02-L1</x:v>
      </x:c>
      <x:c r="C7" s="12" t="str">
        <x:v>SYN-DRESS-BLU-S</x:v>
      </x:c>
      <x:c r="D7" s="12" t="str">
        <x:v>SYN-KHO-HCM</x:v>
      </x:c>
      <x:c r="E7" s="27" t="n">
        <x:v>1</x:v>
      </x:c>
      <x:c r="F7" s="27" t="n">
        <x:v>650000</x:v>
      </x:c>
      <x:c r="G7" s="29" t="n">
        <x:f>E7*F7</x:f>
        <x:v>650000</x:v>
      </x:c>
      <x:c r="H7" s="27" t="n">
        <x:v>650000</x:v>
      </x:c>
      <x:c r="I7" s="25" t="str">
        <x:f>IF(G7=H7,"KHỚP","LỖI TIỀN")</x:f>
        <x:v>KHỚP</x:v>
      </x:c>
      <x:c r="J7" s="12" t="str">
        <x:v>SYN</x:v>
      </x:c>
      <x:c r="K7" s="2"/>
      <x:c r="L7" s="2"/>
    </x:row>
    <x:row r="8" ht="28" customHeight="1">
      <x:c r="A8" s="11" t="str">
        <x:v>SYN-HS-DH-03</x:v>
      </x:c>
      <x:c r="B8" s="11" t="str">
        <x:v>SYN-HS-DH-03-L1</x:v>
      </x:c>
      <x:c r="C8" s="11" t="str">
        <x:v>SYN-TEE-BLK-M</x:v>
      </x:c>
      <x:c r="D8" s="11" t="str">
        <x:v>SYN-KHO-HN</x:v>
      </x:c>
      <x:c r="E8" s="26" t="n">
        <x:v>1</x:v>
      </x:c>
      <x:c r="F8" s="26" t="n">
        <x:v>250000</x:v>
      </x:c>
      <x:c r="G8" s="28" t="n">
        <x:f>E8*F8</x:f>
        <x:v>250000</x:v>
      </x:c>
      <x:c r="H8" s="26" t="n">
        <x:v>250000</x:v>
      </x:c>
      <x:c r="I8" s="24" t="str">
        <x:f>IF(G8=H8,"KHỚP","LỖI TIỀN")</x:f>
        <x:v>KHỚP</x:v>
      </x:c>
      <x:c r="J8" s="11" t="str">
        <x:v>SYN</x:v>
      </x:c>
      <x:c r="K8" s="2"/>
      <x:c r="L8" s="2"/>
    </x:row>
    <x:row r="9" ht="28" customHeight="1">
      <x:c r="A9" s="12" t="str">
        <x:v>SYN-HS-DH-03</x:v>
      </x:c>
      <x:c r="B9" s="12" t="str">
        <x:v>SYN-HS-DH-03-L2</x:v>
      </x:c>
      <x:c r="C9" s="12" t="str">
        <x:v>SYN-PANTS-BEI-M</x:v>
      </x:c>
      <x:c r="D9" s="12" t="str">
        <x:v>SYN-KHO-HCM</x:v>
      </x:c>
      <x:c r="E9" s="27" t="n">
        <x:v>1</x:v>
      </x:c>
      <x:c r="F9" s="27" t="n">
        <x:v>450000</x:v>
      </x:c>
      <x:c r="G9" s="29" t="n">
        <x:f>E9*F9</x:f>
        <x:v>450000</x:v>
      </x:c>
      <x:c r="H9" s="27" t="n">
        <x:v>450000</x:v>
      </x:c>
      <x:c r="I9" s="25" t="str">
        <x:f>IF(G9=H9,"KHỚP","LỖI TIỀN")</x:f>
        <x:v>KHỚP</x:v>
      </x:c>
      <x:c r="J9" s="12" t="str">
        <x:v>SYN</x:v>
      </x:c>
      <x:c r="K9" s="2"/>
      <x:c r="L9" s="2"/>
    </x:row>
    <x:row r="10" ht="28" customHeight="1">
      <x:c r="A10" s="11" t="str">
        <x:v>SYN-HS-DH-04</x:v>
      </x:c>
      <x:c r="B10" s="11" t="str">
        <x:v>SYN-HS-DH-04-L1</x:v>
      </x:c>
      <x:c r="C10" s="11" t="str">
        <x:v>SYN-SHIRT-WHT-L</x:v>
      </x:c>
      <x:c r="D10" s="11" t="str">
        <x:v>SYN-KHO-HN</x:v>
      </x:c>
      <x:c r="E10" s="26" t="n">
        <x:v>1</x:v>
      </x:c>
      <x:c r="F10" s="26" t="n">
        <x:v>400000</x:v>
      </x:c>
      <x:c r="G10" s="28" t="n">
        <x:f>E10*F10</x:f>
        <x:v>400000</x:v>
      </x:c>
      <x:c r="H10" s="26" t="n">
        <x:v>400000</x:v>
      </x:c>
      <x:c r="I10" s="24" t="str">
        <x:f>IF(G10=H10,"KHỚP","LỖI TIỀN")</x:f>
        <x:v>KHỚP</x:v>
      </x:c>
      <x:c r="J10" s="11" t="str">
        <x:v>SYN</x:v>
      </x:c>
      <x:c r="K10" s="2"/>
      <x:c r="L10" s="2"/>
    </x:row>
    <x:row r="11" ht="28" customHeight="1">
      <x:c r="A11" s="12" t="str">
        <x:v>SYN-HS-DH-04</x:v>
      </x:c>
      <x:c r="B11" s="12" t="str">
        <x:v>SYN-HS-DH-04-L2</x:v>
      </x:c>
      <x:c r="C11" s="12" t="str">
        <x:v>SYN-PANTS-BEI-M</x:v>
      </x:c>
      <x:c r="D11" s="12" t="str">
        <x:v>SYN-KHO-HCM</x:v>
      </x:c>
      <x:c r="E11" s="27" t="n">
        <x:v>1</x:v>
      </x:c>
      <x:c r="F11" s="27" t="n">
        <x:v>450000</x:v>
      </x:c>
      <x:c r="G11" s="29" t="n">
        <x:f>E11*F11</x:f>
        <x:v>450000</x:v>
      </x:c>
      <x:c r="H11" s="27" t="n">
        <x:v>450000</x:v>
      </x:c>
      <x:c r="I11" s="25" t="str">
        <x:f>IF(G11=H11,"KHỚP","LỖI TIỀN")</x:f>
        <x:v>KHỚP</x:v>
      </x:c>
      <x:c r="J11" s="12" t="str">
        <x:v>SYN</x:v>
      </x:c>
      <x:c r="K11" s="2"/>
      <x:c r="L11" s="2"/>
    </x:row>
    <x:row r="12" ht="28" customHeight="1">
      <x:c r="A12" s="11" t="str">
        <x:v>SYN-HS-DH-05</x:v>
      </x:c>
      <x:c r="B12" s="11" t="str">
        <x:v>SYN-HS-DH-05-L1</x:v>
      </x:c>
      <x:c r="C12" s="11" t="str">
        <x:v>SYN-POLO-NAV-M</x:v>
      </x:c>
      <x:c r="D12" s="11" t="str">
        <x:v>SYN-KHO-HN</x:v>
      </x:c>
      <x:c r="E12" s="26" t="n">
        <x:v>1</x:v>
      </x:c>
      <x:c r="F12" s="26" t="n">
        <x:v>320000</x:v>
      </x:c>
      <x:c r="G12" s="28" t="n">
        <x:f>E12*F12</x:f>
        <x:v>320000</x:v>
      </x:c>
      <x:c r="H12" s="26" t="n">
        <x:v>320000</x:v>
      </x:c>
      <x:c r="I12" s="24" t="str">
        <x:f>IF(G12=H12,"KHỚP","LỖI TIỀN")</x:f>
        <x:v>KHỚP</x:v>
      </x:c>
      <x:c r="J12" s="11" t="str">
        <x:v>SYN</x:v>
      </x:c>
      <x:c r="K12" s="2"/>
      <x:c r="L12" s="2"/>
    </x:row>
    <x:row r="13" ht="28" customHeight="1">
      <x:c r="A13" s="12" t="str">
        <x:v>SYN-HS-DH-06</x:v>
      </x:c>
      <x:c r="B13" s="12" t="str">
        <x:v>SYN-HS-DH-06-L1</x:v>
      </x:c>
      <x:c r="C13" s="12" t="str">
        <x:v>SYN-DRESS-BLU-S</x:v>
      </x:c>
      <x:c r="D13" s="12" t="str">
        <x:v>SYN-KHO-HCM</x:v>
      </x:c>
      <x:c r="E13" s="27" t="n">
        <x:v>1</x:v>
      </x:c>
      <x:c r="F13" s="27" t="n">
        <x:v>650000</x:v>
      </x:c>
      <x:c r="G13" s="29" t="n">
        <x:f>E13*F13</x:f>
        <x:v>650000</x:v>
      </x:c>
      <x:c r="H13" s="27" t="n">
        <x:v>650000</x:v>
      </x:c>
      <x:c r="I13" s="25" t="str">
        <x:f>IF(G13=H13,"KHỚP","LỖI TIỀN")</x:f>
        <x:v>KHỚP</x:v>
      </x:c>
      <x:c r="J13" s="12" t="str">
        <x:v>SYN</x:v>
      </x:c>
      <x:c r="K13" s="2"/>
      <x:c r="L13" s="2"/>
    </x:row>
    <x:row r="14" ht="28" customHeight="1">
      <x:c r="A14" s="11" t="str">
        <x:v>SYN-HS-DH-07</x:v>
      </x:c>
      <x:c r="B14" s="11" t="str">
        <x:v>SYN-HS-DH-07-L1</x:v>
      </x:c>
      <x:c r="C14" s="11" t="str">
        <x:v>SYN-TEE-BLK-M</x:v>
      </x:c>
      <x:c r="D14" s="11" t="str">
        <x:v>SYN-KHO-HN</x:v>
      </x:c>
      <x:c r="E14" s="26" t="n">
        <x:v>2</x:v>
      </x:c>
      <x:c r="F14" s="26" t="n">
        <x:v>250000</x:v>
      </x:c>
      <x:c r="G14" s="28" t="n">
        <x:f>E14*F14</x:f>
        <x:v>500000</x:v>
      </x:c>
      <x:c r="H14" s="26" t="n">
        <x:v>500000</x:v>
      </x:c>
      <x:c r="I14" s="24" t="str">
        <x:f>IF(G14=H14,"KHỚP","LỖI TIỀN")</x:f>
        <x:v>KHỚP</x:v>
      </x:c>
      <x:c r="J14" s="11" t="str">
        <x:v>SYN</x:v>
      </x:c>
      <x:c r="K14" s="2"/>
      <x:c r="L14" s="2"/>
    </x:row>
    <x:row r="15" ht="28" customHeight="1">
      <x:c r="A15" s="12" t="str">
        <x:v>SYN-HS-DH-07</x:v>
      </x:c>
      <x:c r="B15" s="12" t="str">
        <x:v>SYN-HS-DH-07-L2</x:v>
      </x:c>
      <x:c r="C15" s="12" t="str">
        <x:v>SYN-PANTS-BEI-M</x:v>
      </x:c>
      <x:c r="D15" s="12" t="str">
        <x:v>SYN-KHO-HCM</x:v>
      </x:c>
      <x:c r="E15" s="27" t="n">
        <x:v>1</x:v>
      </x:c>
      <x:c r="F15" s="27" t="n">
        <x:v>450000</x:v>
      </x:c>
      <x:c r="G15" s="29" t="n">
        <x:f>E15*F15</x:f>
        <x:v>450000</x:v>
      </x:c>
      <x:c r="H15" s="27" t="n">
        <x:v>450000</x:v>
      </x:c>
      <x:c r="I15" s="25" t="str">
        <x:f>IF(G15=H15,"KHỚP","LỖI TIỀN")</x:f>
        <x:v>KHỚP</x:v>
      </x:c>
      <x:c r="J15" s="12" t="str">
        <x:v>SYN</x:v>
      </x:c>
      <x:c r="K15" s="2"/>
      <x:c r="L15" s="2"/>
    </x:row>
    <x:row r="16" ht="28" customHeight="1">
      <x:c r="A16" s="11" t="str">
        <x:v>SYN-HS-DH-08</x:v>
      </x:c>
      <x:c r="B16" s="11" t="str">
        <x:v>SYN-HS-DH-08-L1</x:v>
      </x:c>
      <x:c r="C16" s="11" t="str">
        <x:v>SYN-SHIRT-WHT-L</x:v>
      </x:c>
      <x:c r="D16" s="11" t="str">
        <x:v>SYN-KHO-HN</x:v>
      </x:c>
      <x:c r="E16" s="26" t="n">
        <x:v>1</x:v>
      </x:c>
      <x:c r="F16" s="26" t="n">
        <x:v>400000</x:v>
      </x:c>
      <x:c r="G16" s="28" t="n">
        <x:f>E16*F16</x:f>
        <x:v>400000</x:v>
      </x:c>
      <x:c r="H16" s="26" t="n">
        <x:v>400000</x:v>
      </x:c>
      <x:c r="I16" s="24" t="str">
        <x:f>IF(G16=H16,"KHỚP","LỖI TIỀN")</x:f>
        <x:v>KHỚP</x:v>
      </x:c>
      <x:c r="J16" s="11" t="str">
        <x:v>SYN</x:v>
      </x:c>
      <x:c r="K16" s="2"/>
      <x:c r="L16" s="2"/>
    </x:row>
    <x:row r="17" ht="28" customHeight="1">
      <x:c r="A17" s="12" t="str">
        <x:v>SYN-HS-DH-08</x:v>
      </x:c>
      <x:c r="B17" s="12" t="str">
        <x:v>SYN-HS-DH-08-L2</x:v>
      </x:c>
      <x:c r="C17" s="12" t="str">
        <x:v>SYN-DRESS-BLU-S</x:v>
      </x:c>
      <x:c r="D17" s="12" t="str">
        <x:v>SYN-KHO-HCM</x:v>
      </x:c>
      <x:c r="E17" s="27" t="n">
        <x:v>1</x:v>
      </x:c>
      <x:c r="F17" s="27" t="n">
        <x:v>650000</x:v>
      </x:c>
      <x:c r="G17" s="29" t="n">
        <x:f>E17*F17</x:f>
        <x:v>650000</x:v>
      </x:c>
      <x:c r="H17" s="27" t="n">
        <x:v>650000</x:v>
      </x:c>
      <x:c r="I17" s="25" t="str">
        <x:f>IF(G17=H17,"KHỚP","LỖI TIỀN")</x:f>
        <x:v>KHỚP</x:v>
      </x:c>
      <x:c r="J17" s="12" t="str">
        <x:v>SYN</x:v>
      </x:c>
      <x:c r="K17" s="2"/>
      <x:c r="L17" s="2"/>
    </x:row>
    <x:row r="18" ht="28" customHeight="1">
      <x:c r="A18" s="11" t="str">
        <x:v>SYN-HS-DH-09</x:v>
      </x:c>
      <x:c r="B18" s="11" t="str">
        <x:v>SYN-HS-DH-09-L1</x:v>
      </x:c>
      <x:c r="C18" s="11" t="str">
        <x:v>SYN-TEE-BLK-M</x:v>
      </x:c>
      <x:c r="D18" s="11" t="str">
        <x:v>SYN-KHO-HN</x:v>
      </x:c>
      <x:c r="E18" s="26" t="n">
        <x:v>1</x:v>
      </x:c>
      <x:c r="F18" s="26" t="n">
        <x:v>250000</x:v>
      </x:c>
      <x:c r="G18" s="28" t="n">
        <x:f>E18*F18</x:f>
        <x:v>250000</x:v>
      </x:c>
      <x:c r="H18" s="26" t="n">
        <x:v>250000</x:v>
      </x:c>
      <x:c r="I18" s="24" t="str">
        <x:f>IF(G18=H18,"KHỚP","LỖI TIỀN")</x:f>
        <x:v>KHỚP</x:v>
      </x:c>
      <x:c r="J18" s="11" t="str">
        <x:v>SYN</x:v>
      </x:c>
      <x:c r="K18" s="2"/>
      <x:c r="L18" s="2"/>
    </x:row>
    <x:row r="19" ht="28" customHeight="1">
      <x:c r="A19" s="12" t="str">
        <x:v>SYN-HS-DH-09</x:v>
      </x:c>
      <x:c r="B19" s="12" t="str">
        <x:v>SYN-HS-DH-09-L2</x:v>
      </x:c>
      <x:c r="C19" s="12" t="str">
        <x:v>SYN-PANTS-BEI-M</x:v>
      </x:c>
      <x:c r="D19" s="12" t="str">
        <x:v>SYN-KHO-HCM</x:v>
      </x:c>
      <x:c r="E19" s="27" t="n">
        <x:v>1</x:v>
      </x:c>
      <x:c r="F19" s="27" t="n">
        <x:v>450000</x:v>
      </x:c>
      <x:c r="G19" s="29" t="n">
        <x:f>E19*F19</x:f>
        <x:v>450000</x:v>
      </x:c>
      <x:c r="H19" s="27" t="n">
        <x:v>450000</x:v>
      </x:c>
      <x:c r="I19" s="25" t="str">
        <x:f>IF(G19=H19,"KHỚP","LỖI TIỀN")</x:f>
        <x:v>KHỚP</x:v>
      </x:c>
      <x:c r="J19" s="12" t="str">
        <x:v>SYN</x:v>
      </x:c>
      <x:c r="K19" s="2"/>
      <x:c r="L19" s="2"/>
    </x:row>
    <x:row r="20" ht="28" customHeight="1">
      <x:c r="A20" s="11" t="str">
        <x:v>SYN-HS-DH-10</x:v>
      </x:c>
      <x:c r="B20" s="11" t="str">
        <x:v>SYN-HS-DH-10-L1</x:v>
      </x:c>
      <x:c r="C20" s="11" t="str">
        <x:v>SYN-SHIRT-WHT-L</x:v>
      </x:c>
      <x:c r="D20" s="11" t="str">
        <x:v>SYN-KHO-HN</x:v>
      </x:c>
      <x:c r="E20" s="26" t="n">
        <x:v>1</x:v>
      </x:c>
      <x:c r="F20" s="26" t="n">
        <x:v>400000</x:v>
      </x:c>
      <x:c r="G20" s="28" t="n">
        <x:f>E20*F20</x:f>
        <x:v>400000</x:v>
      </x:c>
      <x:c r="H20" s="26" t="n">
        <x:v>400000</x:v>
      </x:c>
      <x:c r="I20" s="24" t="str">
        <x:f>IF(G20=H20,"KHỚP","LỖI TIỀN")</x:f>
        <x:v>KHỚP</x:v>
      </x:c>
      <x:c r="J20" s="11" t="str">
        <x:v>SYN</x:v>
      </x:c>
      <x:c r="K20" s="2"/>
      <x:c r="L20" s="2"/>
    </x:row>
    <x:row r="21" ht="28" customHeight="1">
      <x:c r="A21" s="12" t="str">
        <x:v>SYN-HS-DH-10</x:v>
      </x:c>
      <x:c r="B21" s="12" t="str">
        <x:v>SYN-HS-DH-10-L2</x:v>
      </x:c>
      <x:c r="C21" s="12" t="str">
        <x:v>SYN-PANTS-BEI-M</x:v>
      </x:c>
      <x:c r="D21" s="12" t="str">
        <x:v>SYN-KHO-HCM</x:v>
      </x:c>
      <x:c r="E21" s="27" t="n">
        <x:v>1</x:v>
      </x:c>
      <x:c r="F21" s="27" t="n">
        <x:v>450000</x:v>
      </x:c>
      <x:c r="G21" s="29" t="n">
        <x:f>E21*F21</x:f>
        <x:v>450000</x:v>
      </x:c>
      <x:c r="H21" s="27" t="n">
        <x:v>450000</x:v>
      </x:c>
      <x:c r="I21" s="25" t="str">
        <x:f>IF(G21=H21,"KHỚP","LỖI TIỀN")</x:f>
        <x:v>KHỚP</x:v>
      </x:c>
      <x:c r="J21" s="12" t="str">
        <x:v>SYN</x:v>
      </x:c>
      <x:c r="K21" s="2"/>
      <x:c r="L21" s="2"/>
    </x:row>
    <x:row r="22" ht="28" customHeight="1">
      <x:c r="A22" s="11" t="str">
        <x:v>SYN-HS-DH-11</x:v>
      </x:c>
      <x:c r="B22" s="11" t="str">
        <x:v>SYN-HS-DH-11-L1</x:v>
      </x:c>
      <x:c r="C22" s="11" t="str">
        <x:v>SYN-POLO-NAV-M</x:v>
      </x:c>
      <x:c r="D22" s="11" t="str">
        <x:v>SYN-KHO-HN</x:v>
      </x:c>
      <x:c r="E22" s="26" t="n">
        <x:v>1</x:v>
      </x:c>
      <x:c r="F22" s="26" t="n">
        <x:v>320000</x:v>
      </x:c>
      <x:c r="G22" s="28" t="n">
        <x:f>E22*F22</x:f>
        <x:v>320000</x:v>
      </x:c>
      <x:c r="H22" s="26" t="n">
        <x:v>320000</x:v>
      </x:c>
      <x:c r="I22" s="24" t="str">
        <x:f>IF(G22=H22,"KHỚP","LỖI TIỀN")</x:f>
        <x:v>KHỚP</x:v>
      </x:c>
      <x:c r="J22" s="11" t="str">
        <x:v>SYN</x:v>
      </x:c>
      <x:c r="K22" s="2"/>
      <x:c r="L22" s="2"/>
    </x:row>
    <x:row r="23" ht="28" customHeight="1">
      <x:c r="A23" s="12" t="str">
        <x:v>SYN-HS-DH-11</x:v>
      </x:c>
      <x:c r="B23" s="12" t="str">
        <x:v>SYN-HS-DH-11-L2</x:v>
      </x:c>
      <x:c r="C23" s="12" t="str">
        <x:v>SYN-JACKET-GRY-L</x:v>
      </x:c>
      <x:c r="D23" s="12" t="str">
        <x:v>SYN-KHO-HCM</x:v>
      </x:c>
      <x:c r="E23" s="27" t="n">
        <x:v>1</x:v>
      </x:c>
      <x:c r="F23" s="27" t="n">
        <x:v>780000</x:v>
      </x:c>
      <x:c r="G23" s="29" t="n">
        <x:f>E23*F23</x:f>
        <x:v>780000</x:v>
      </x:c>
      <x:c r="H23" s="27" t="n">
        <x:v>780000</x:v>
      </x:c>
      <x:c r="I23" s="25" t="str">
        <x:f>IF(G23=H23,"KHỚP","LỖI TIỀN")</x:f>
        <x:v>KHỚP</x:v>
      </x:c>
      <x:c r="J23" s="12" t="str">
        <x:v>SYN</x:v>
      </x:c>
      <x:c r="K23" s="2"/>
      <x:c r="L23" s="2"/>
    </x:row>
    <x:row r="24" ht="28" customHeight="1">
      <x:c r="A24" s="11" t="str">
        <x:v>SYN-HS-DH-12</x:v>
      </x:c>
      <x:c r="B24" s="11" t="str">
        <x:v>SYN-HS-DH-12-L1</x:v>
      </x:c>
      <x:c r="C24" s="11" t="str">
        <x:v>SYN-TEE-BLK-M</x:v>
      </x:c>
      <x:c r="D24" s="11" t="str">
        <x:v>SYN-KHO-HN</x:v>
      </x:c>
      <x:c r="E24" s="26" t="n">
        <x:v>1</x:v>
      </x:c>
      <x:c r="F24" s="26" t="n">
        <x:v>250000</x:v>
      </x:c>
      <x:c r="G24" s="28" t="n">
        <x:f>E24*F24</x:f>
        <x:v>250000</x:v>
      </x:c>
      <x:c r="H24" s="26" t="n">
        <x:v>250000</x:v>
      </x:c>
      <x:c r="I24" s="24" t="str">
        <x:f>IF(G24=H24,"KHỚP","LỖI TIỀN")</x:f>
        <x:v>KHỚP</x:v>
      </x:c>
      <x:c r="J24" s="11" t="str">
        <x:v>SYN</x:v>
      </x:c>
      <x:c r="K24" s="2"/>
      <x:c r="L24" s="2"/>
    </x:row>
    <x:row r="25" ht="28" customHeight="1">
      <x:c r="A25" s="12" t="str">
        <x:v>SYN-HS-DH-13</x:v>
      </x:c>
      <x:c r="B25" s="12" t="str">
        <x:v>SYN-HS-DH-13-L1</x:v>
      </x:c>
      <x:c r="C25" s="12" t="str">
        <x:v>SYN-DRESS-BLU-S</x:v>
      </x:c>
      <x:c r="D25" s="12" t="str">
        <x:v>SYN-KHO-HCM</x:v>
      </x:c>
      <x:c r="E25" s="27" t="n">
        <x:v>1</x:v>
      </x:c>
      <x:c r="F25" s="27" t="n">
        <x:v>650000</x:v>
      </x:c>
      <x:c r="G25" s="29" t="n">
        <x:f>E25*F25</x:f>
        <x:v>650000</x:v>
      </x:c>
      <x:c r="H25" s="27" t="n">
        <x:v>650000</x:v>
      </x:c>
      <x:c r="I25" s="25" t="str">
        <x:f>IF(G25=H25,"KHỚP","LỖI TIỀN")</x:f>
        <x:v>KHỚP</x:v>
      </x:c>
      <x:c r="J25" s="12" t="str">
        <x:v>SYN</x:v>
      </x:c>
      <x:c r="K25" s="2"/>
      <x:c r="L25" s="2"/>
    </x:row>
    <x:row r="26" ht="28" customHeight="1">
      <x:c r="A26" s="11" t="str">
        <x:v>SYN-HS-DH-14</x:v>
      </x:c>
      <x:c r="B26" s="11" t="str">
        <x:v>SYN-HS-DH-14-L1</x:v>
      </x:c>
      <x:c r="C26" s="11" t="str">
        <x:v>SYN-SHIRT-WHT-L</x:v>
      </x:c>
      <x:c r="D26" s="11" t="str">
        <x:v>SYN-KHO-HN</x:v>
      </x:c>
      <x:c r="E26" s="26" t="n">
        <x:v>1</x:v>
      </x:c>
      <x:c r="F26" s="26" t="n">
        <x:v>400000</x:v>
      </x:c>
      <x:c r="G26" s="28" t="n">
        <x:f>E26*F26</x:f>
        <x:v>400000</x:v>
      </x:c>
      <x:c r="H26" s="26" t="n">
        <x:v>400000</x:v>
      </x:c>
      <x:c r="I26" s="24" t="str">
        <x:f>IF(G26=H26,"KHỚP","LỖI TIỀN")</x:f>
        <x:v>KHỚP</x:v>
      </x:c>
      <x:c r="J26" s="11" t="str">
        <x:v>SYN</x:v>
      </x:c>
      <x:c r="K26" s="2"/>
      <x:c r="L26" s="2"/>
    </x:row>
    <x:row r="27" ht="28" customHeight="1">
      <x:c r="A27" s="12" t="str">
        <x:v>SYN-HS-DH-14</x:v>
      </x:c>
      <x:c r="B27" s="12" t="str">
        <x:v>SYN-HS-DH-14-L2</x:v>
      </x:c>
      <x:c r="C27" s="12" t="str">
        <x:v>SYN-PANTS-BEI-M</x:v>
      </x:c>
      <x:c r="D27" s="12" t="str">
        <x:v>SYN-KHO-HCM</x:v>
      </x:c>
      <x:c r="E27" s="27" t="n">
        <x:v>1</x:v>
      </x:c>
      <x:c r="F27" s="27" t="n">
        <x:v>450000</x:v>
      </x:c>
      <x:c r="G27" s="29" t="n">
        <x:f>E27*F27</x:f>
        <x:v>450000</x:v>
      </x:c>
      <x:c r="H27" s="27" t="n">
        <x:v>450000</x:v>
      </x:c>
      <x:c r="I27" s="25" t="str">
        <x:f>IF(G27=H27,"KHỚP","LỖI TIỀN")</x:f>
        <x:v>KHỚP</x:v>
      </x:c>
      <x:c r="J27" s="12" t="str">
        <x:v>SYN</x:v>
      </x:c>
      <x:c r="K27" s="2"/>
      <x:c r="L27" s="2"/>
    </x:row>
    <x:row r="28" ht="28" customHeight="1">
      <x:c r="A28" s="11" t="str">
        <x:v>SYN-HS-DH-15</x:v>
      </x:c>
      <x:c r="B28" s="11" t="str">
        <x:v>SYN-HS-DH-15-L1</x:v>
      </x:c>
      <x:c r="C28" s="11" t="str">
        <x:v>SYN-POLO-NAV-M</x:v>
      </x:c>
      <x:c r="D28" s="11" t="str">
        <x:v>SYN-KHO-HN</x:v>
      </x:c>
      <x:c r="E28" s="26" t="n">
        <x:v>1</x:v>
      </x:c>
      <x:c r="F28" s="26" t="n">
        <x:v>320000</x:v>
      </x:c>
      <x:c r="G28" s="28" t="n">
        <x:f>E28*F28</x:f>
        <x:v>320000</x:v>
      </x:c>
      <x:c r="H28" s="26" t="n">
        <x:v>320000</x:v>
      </x:c>
      <x:c r="I28" s="24" t="str">
        <x:f>IF(G28=H28,"KHỚP","LỖI TIỀN")</x:f>
        <x:v>KHỚP</x:v>
      </x:c>
      <x:c r="J28" s="11" t="str">
        <x:v>SYN</x:v>
      </x:c>
      <x:c r="K28" s="2"/>
      <x:c r="L28" s="2"/>
    </x:row>
    <x:row r="29" ht="28" customHeight="1">
      <x:c r="A29" s="12" t="str">
        <x:v>SYN-HS-DH-16</x:v>
      </x:c>
      <x:c r="B29" s="12" t="str">
        <x:v>SYN-HS-DH-16-L1</x:v>
      </x:c>
      <x:c r="C29" s="12" t="str">
        <x:v>SYN-JACKET-GRY-L</x:v>
      </x:c>
      <x:c r="D29" s="12" t="str">
        <x:v>SYN-KHO-HCM</x:v>
      </x:c>
      <x:c r="E29" s="27" t="n">
        <x:v>1</x:v>
      </x:c>
      <x:c r="F29" s="27" t="n">
        <x:v>780000</x:v>
      </x:c>
      <x:c r="G29" s="29" t="n">
        <x:f>E29*F29</x:f>
        <x:v>780000</x:v>
      </x:c>
      <x:c r="H29" s="27" t="n">
        <x:v>780000</x:v>
      </x:c>
      <x:c r="I29" s="25" t="str">
        <x:f>IF(G29=H29,"KHỚP","LỖI TIỀN")</x:f>
        <x:v>KHỚP</x:v>
      </x:c>
      <x:c r="J29" s="12" t="str">
        <x:v>SYN</x:v>
      </x:c>
      <x:c r="K29" s="2"/>
      <x:c r="L29" s="2"/>
    </x:row>
    <x:row r="30" ht="28" customHeight="1">
      <x:c r="A30" s="11" t="str">
        <x:v>SYN-HS-DH-17</x:v>
      </x:c>
      <x:c r="B30" s="11" t="str">
        <x:v>SYN-HS-DH-17-L1</x:v>
      </x:c>
      <x:c r="C30" s="11" t="str">
        <x:v>SYN-TEE-BLK-M</x:v>
      </x:c>
      <x:c r="D30" s="11" t="str">
        <x:v>SYN-KHO-HN</x:v>
      </x:c>
      <x:c r="E30" s="26" t="n">
        <x:v>1</x:v>
      </x:c>
      <x:c r="F30" s="26" t="n">
        <x:v>250000</x:v>
      </x:c>
      <x:c r="G30" s="28" t="n">
        <x:f>E30*F30</x:f>
        <x:v>250000</x:v>
      </x:c>
      <x:c r="H30" s="26" t="n">
        <x:v>250000</x:v>
      </x:c>
      <x:c r="I30" s="24" t="str">
        <x:f>IF(G30=H30,"KHỚP","LỖI TIỀN")</x:f>
        <x:v>KHỚP</x:v>
      </x:c>
      <x:c r="J30" s="11" t="str">
        <x:v>SYN</x:v>
      </x:c>
      <x:c r="K30" s="2"/>
      <x:c r="L30" s="2"/>
    </x:row>
    <x:row r="31" ht="28" customHeight="1">
      <x:c r="A31" s="12" t="str">
        <x:v>SYN-HS-DH-18</x:v>
      </x:c>
      <x:c r="B31" s="12" t="str">
        <x:v>SYN-HS-DH-18-L1</x:v>
      </x:c>
      <x:c r="C31" s="12" t="str">
        <x:v>SYN-DRESS-BLU-S</x:v>
      </x:c>
      <x:c r="D31" s="12" t="str">
        <x:v>SYN-KHO-HCM</x:v>
      </x:c>
      <x:c r="E31" s="27" t="n">
        <x:v>1</x:v>
      </x:c>
      <x:c r="F31" s="27" t="n">
        <x:v>650000</x:v>
      </x:c>
      <x:c r="G31" s="29" t="n">
        <x:f>E31*F31</x:f>
        <x:v>650000</x:v>
      </x:c>
      <x:c r="H31" s="27" t="n">
        <x:v>650000</x:v>
      </x:c>
      <x:c r="I31" s="25" t="str">
        <x:f>IF(G31=H31,"KHỚP","LỖI TIỀN")</x:f>
        <x:v>KHỚP</x:v>
      </x:c>
      <x:c r="J31" s="12" t="str">
        <x:v>SYN</x:v>
      </x:c>
      <x:c r="K31" s="2"/>
      <x:c r="L31" s="2"/>
    </x:row>
    <x:row r="32" ht="28" customHeight="1">
      <x:c r="A32" s="11" t="str">
        <x:v>SYN-HS-DH-19</x:v>
      </x:c>
      <x:c r="B32" s="11" t="str">
        <x:v>SYN-HS-DH-19-L1</x:v>
      </x:c>
      <x:c r="C32" s="11" t="str">
        <x:v>SYN-SHIRT-WHT-L</x:v>
      </x:c>
      <x:c r="D32" s="11" t="str">
        <x:v>SYN-KHO-HN</x:v>
      </x:c>
      <x:c r="E32" s="26" t="n">
        <x:v>1</x:v>
      </x:c>
      <x:c r="F32" s="26" t="n">
        <x:v>400000</x:v>
      </x:c>
      <x:c r="G32" s="28" t="n">
        <x:f>E32*F32</x:f>
        <x:v>400000</x:v>
      </x:c>
      <x:c r="H32" s="26" t="n">
        <x:v>400000</x:v>
      </x:c>
      <x:c r="I32" s="24" t="str">
        <x:f>IF(G32=H32,"KHỚP","LỖI TIỀN")</x:f>
        <x:v>KHỚP</x:v>
      </x:c>
      <x:c r="J32" s="11" t="str">
        <x:v>SYN</x:v>
      </x:c>
      <x:c r="K32" s="2"/>
      <x:c r="L32" s="2"/>
    </x:row>
    <x:row r="33" ht="28" customHeight="1">
      <x:c r="A33" s="12" t="str">
        <x:v>SYN-HS-DH-19</x:v>
      </x:c>
      <x:c r="B33" s="12" t="str">
        <x:v>SYN-HS-DH-19-L2</x:v>
      </x:c>
      <x:c r="C33" s="12" t="str">
        <x:v>SYN-PANTS-BEI-M</x:v>
      </x:c>
      <x:c r="D33" s="12" t="str">
        <x:v>SYN-KHO-HCM</x:v>
      </x:c>
      <x:c r="E33" s="27" t="n">
        <x:v>1</x:v>
      </x:c>
      <x:c r="F33" s="27" t="n">
        <x:v>450000</x:v>
      </x:c>
      <x:c r="G33" s="29" t="n">
        <x:f>E33*F33</x:f>
        <x:v>450000</x:v>
      </x:c>
      <x:c r="H33" s="27" t="n">
        <x:v>450000</x:v>
      </x:c>
      <x:c r="I33" s="25" t="str">
        <x:f>IF(G33=H33,"KHỚP","LỖI TIỀN")</x:f>
        <x:v>KHỚP</x:v>
      </x:c>
      <x:c r="J33" s="12" t="str">
        <x:v>SYN</x:v>
      </x:c>
      <x:c r="K33" s="2"/>
      <x:c r="L33" s="2"/>
    </x:row>
    <x:row r="34" ht="28" customHeight="1">
      <x:c r="A34" s="11" t="str">
        <x:v>SYN-HS-DH-20</x:v>
      </x:c>
      <x:c r="B34" s="11" t="str">
        <x:v>SYN-HS-DH-20-L1</x:v>
      </x:c>
      <x:c r="C34" s="11" t="str">
        <x:v>SYN-TEE-BLK-M</x:v>
      </x:c>
      <x:c r="D34" s="11" t="str">
        <x:v>SYN-KHO-HN</x:v>
      </x:c>
      <x:c r="E34" s="26" t="n">
        <x:v>2</x:v>
      </x:c>
      <x:c r="F34" s="26" t="n">
        <x:v>250000</x:v>
      </x:c>
      <x:c r="G34" s="28" t="n">
        <x:f>E34*F34</x:f>
        <x:v>500000</x:v>
      </x:c>
      <x:c r="H34" s="26" t="n">
        <x:v>500000</x:v>
      </x:c>
      <x:c r="I34" s="24" t="str">
        <x:f>IF(G34=H34,"KHỚP","LỖI TIỀN")</x:f>
        <x:v>KHỚP</x:v>
      </x:c>
      <x:c r="J34" s="11" t="str">
        <x:v>SYN</x:v>
      </x:c>
      <x:c r="K34" s="2"/>
      <x:c r="L34" s="2"/>
    </x:row>
    <x:row r="35" ht="28" customHeight="1">
      <x:c r="A35" s="12" t="str">
        <x:v>SYN-HS-DH-20</x:v>
      </x:c>
      <x:c r="B35" s="12" t="str">
        <x:v>SYN-HS-DH-20-L2</x:v>
      </x:c>
      <x:c r="C35" s="12" t="str">
        <x:v>SYN-PANTS-BEI-M</x:v>
      </x:c>
      <x:c r="D35" s="12" t="str">
        <x:v>SYN-KHO-HCM</x:v>
      </x:c>
      <x:c r="E35" s="27" t="n">
        <x:v>1</x:v>
      </x:c>
      <x:c r="F35" s="27" t="n">
        <x:v>450000</x:v>
      </x:c>
      <x:c r="G35" s="29" t="n">
        <x:f>E35*F35</x:f>
        <x:v>450000</x:v>
      </x:c>
      <x:c r="H35" s="27" t="n">
        <x:v>450000</x:v>
      </x:c>
      <x:c r="I35" s="25" t="str">
        <x:f>IF(G35=H35,"KHỚP","LỖI TIỀN")</x:f>
        <x:v>KHỚP</x:v>
      </x:c>
      <x:c r="J35" s="12" t="str">
        <x:v>SYN</x:v>
      </x:c>
      <x:c r="K35" s="2"/>
      <x:c r="L35" s="2"/>
    </x:row>
    <x:row r="36" ht="24" customHeight="1">
      <x:c r="A36" s="2"/>
      <x:c r="B36" s="2"/>
      <x:c r="C36" s="2"/>
      <x:c r="D36" s="2"/>
      <x:c r="E36" s="2"/>
      <x:c r="F36" s="2"/>
      <x:c r="G36" s="2"/>
      <x:c r="H36" s="2"/>
      <x:c r="I36" s="2"/>
      <x:c r="J36" s="2"/>
      <x:c r="K36" s="2"/>
      <x:c r="L36" s="2"/>
    </x:row>
    <x:row r="37" ht="24" customHeight="1">
      <x:c r="A37" s="2"/>
      <x:c r="B37" s="2"/>
      <x:c r="C37" s="2"/>
      <x:c r="D37" s="2"/>
      <x:c r="E37" s="2"/>
      <x:c r="F37" s="2"/>
      <x:c r="G37" s="2"/>
      <x:c r="H37" s="2"/>
      <x:c r="I37" s="2"/>
      <x:c r="J37" s="2"/>
      <x:c r="K37" s="2"/>
      <x:c r="L37" s="2"/>
    </x:row>
    <x:row r="38" ht="24" customHeight="1">
      <x:c r="A38" s="2"/>
      <x:c r="B38" s="2"/>
      <x:c r="C38" s="2"/>
      <x:c r="D38" s="2"/>
      <x:c r="E38" s="2"/>
      <x:c r="F38" s="2"/>
      <x:c r="G38" s="2"/>
      <x:c r="H38" s="2"/>
      <x:c r="I38" s="2"/>
      <x:c r="J38" s="2"/>
      <x:c r="K38" s="2"/>
      <x:c r="L38" s="2"/>
    </x:row>
    <x:row r="39" ht="42" customHeight="1">
      <x:c r="A39" s="9" t="str">
        <x:v>Mã đơn giả lập</x:v>
      </x:c>
      <x:c r="B39" s="9" t="str">
        <x:v>Mã phiếu giao</x:v>
      </x:c>
      <x:c r="C39" s="9" t="str">
        <x:v>Kho</x:v>
      </x:c>
      <x:c r="D39" s="9" t="str">
        <x:v>Trạng thái giao</x:v>
      </x:c>
      <x:c r="E39" s="9" t="str">
        <x:v>Hãng giao giả lập</x:v>
      </x:c>
      <x:c r="F39" s="9" t="str">
        <x:v>Mã vận đơn giả lập</x:v>
      </x:c>
      <x:c r="G39" s="9" t="str">
        <x:v>Lý do</x:v>
      </x:c>
      <x:c r="H39" s="9" t="str">
        <x:v>Hàng giữ cho đơn: mã, số lượng, trạng thái</x:v>
      </x:c>
      <x:c r="I39" s="9" t="str">
        <x:v>Nhãn</x:v>
      </x:c>
      <x:c r="J39" s="2"/>
      <x:c r="K39" s="2"/>
      <x:c r="L39" s="2"/>
    </x:row>
    <x:row r="40" ht="68" customHeight="1">
      <x:c r="A40" s="11" t="str">
        <x:v>SYN-HS-DH-01</x:v>
      </x:c>
      <x:c r="B40" s="11" t="str">
        <x:v>SYN-HS-DH-01-F1</x:v>
      </x:c>
      <x:c r="C40" s="11" t="str">
        <x:v>SYN-KHO-HN</x:v>
      </x:c>
      <x:c r="D40" s="11" t="str">
        <x:v>Đã giao
(delivered)</x:v>
      </x:c>
      <x:c r="E40" s="11" t="str">
        <x:v>SYN-CARRIER</x:v>
      </x:c>
      <x:c r="F40" s="11" t="str">
        <x:v>SYN-HS-DH-01-TRACK1</x:v>
      </x:c>
      <x:c r="G40" s="11" t="str"/>
      <x:c r="H40" s="11" t="str">
        <x:v>SYN-TEE-BLK-M: 2; Đã xuất hàng giữ chỗ
(consumed)</x:v>
      </x:c>
      <x:c r="I40" s="11" t="str">
        <x:v>SYN</x:v>
      </x:c>
      <x:c r="J40" s="2"/>
      <x:c r="K40" s="2"/>
      <x:c r="L40" s="2"/>
    </x:row>
    <x:row r="41" ht="68" customHeight="1">
      <x:c r="A41" s="12" t="str">
        <x:v>SYN-HS-DH-02</x:v>
      </x:c>
      <x:c r="B41" s="12" t="str">
        <x:v>SYN-HS-DH-02-F1</x:v>
      </x:c>
      <x:c r="C41" s="12" t="str">
        <x:v>SYN-KHO-HCM</x:v>
      </x:c>
      <x:c r="D41" s="12" t="str">
        <x:v>Đã giao
(delivered)</x:v>
      </x:c>
      <x:c r="E41" s="12" t="str">
        <x:v>SYN-CARRIER</x:v>
      </x:c>
      <x:c r="F41" s="12" t="str">
        <x:v>SYN-HS-DH-02-TRACK1</x:v>
      </x:c>
      <x:c r="G41" s="12" t="str"/>
      <x:c r="H41" s="12" t="str">
        <x:v>SYN-DRESS-BLU-S: 1; Đã xuất hàng giữ chỗ
(consumed)</x:v>
      </x:c>
      <x:c r="I41" s="12" t="str">
        <x:v>SYN</x:v>
      </x:c>
      <x:c r="J41" s="2"/>
      <x:c r="K41" s="2"/>
      <x:c r="L41" s="2"/>
    </x:row>
    <x:row r="42" ht="68" customHeight="1">
      <x:c r="A42" s="11" t="str">
        <x:v>SYN-HS-DH-03</x:v>
      </x:c>
      <x:c r="B42" s="11" t="str">
        <x:v>SYN-HS-DH-03-F1</x:v>
      </x:c>
      <x:c r="C42" s="11" t="str">
        <x:v>SYN-KHO-HN</x:v>
      </x:c>
      <x:c r="D42" s="11" t="str">
        <x:v>Đã giao
(delivered)</x:v>
      </x:c>
      <x:c r="E42" s="11" t="str">
        <x:v>SYN-CARRIER</x:v>
      </x:c>
      <x:c r="F42" s="11" t="str">
        <x:v>SYN-HS-DH-03-TRACK1</x:v>
      </x:c>
      <x:c r="G42" s="11" t="str"/>
      <x:c r="H42" s="11" t="str">
        <x:v>SYN-TEE-BLK-M: 1; Đã xuất hàng giữ chỗ
(consumed)</x:v>
      </x:c>
      <x:c r="I42" s="11" t="str">
        <x:v>SYN</x:v>
      </x:c>
      <x:c r="J42" s="2"/>
      <x:c r="K42" s="2"/>
      <x:c r="L42" s="2"/>
    </x:row>
    <x:row r="43" ht="68" customHeight="1">
      <x:c r="A43" s="12" t="str">
        <x:v>SYN-HS-DH-03</x:v>
      </x:c>
      <x:c r="B43" s="12" t="str">
        <x:v>SYN-HS-DH-03-F2</x:v>
      </x:c>
      <x:c r="C43" s="12" t="str">
        <x:v>SYN-KHO-HCM</x:v>
      </x:c>
      <x:c r="D43" s="12" t="str">
        <x:v>Đã giao
(delivered)</x:v>
      </x:c>
      <x:c r="E43" s="12" t="str">
        <x:v>SYN-CARRIER</x:v>
      </x:c>
      <x:c r="F43" s="12" t="str">
        <x:v>SYN-HS-DH-03-TRACK2</x:v>
      </x:c>
      <x:c r="G43" s="12" t="str"/>
      <x:c r="H43" s="12" t="str">
        <x:v>SYN-PANTS-BEI-M: 1; Đã xuất hàng giữ chỗ
(consumed)</x:v>
      </x:c>
      <x:c r="I43" s="12" t="str">
        <x:v>SYN</x:v>
      </x:c>
      <x:c r="J43" s="2"/>
      <x:c r="K43" s="2"/>
      <x:c r="L43" s="2"/>
    </x:row>
    <x:row r="44" ht="68" customHeight="1">
      <x:c r="A44" s="11" t="str">
        <x:v>SYN-HS-DH-04</x:v>
      </x:c>
      <x:c r="B44" s="11" t="str">
        <x:v>SYN-HS-DH-04-F1</x:v>
      </x:c>
      <x:c r="C44" s="11" t="str">
        <x:v>SYN-KHO-HN</x:v>
      </x:c>
      <x:c r="D44" s="11" t="str">
        <x:v>Đã giao
(delivered)</x:v>
      </x:c>
      <x:c r="E44" s="11" t="str">
        <x:v>SYN-CARRIER</x:v>
      </x:c>
      <x:c r="F44" s="11" t="str">
        <x:v>SYN-HS-DH-04-TRACK1</x:v>
      </x:c>
      <x:c r="G44" s="11" t="str"/>
      <x:c r="H44" s="11" t="str">
        <x:v>SYN-SHIRT-WHT-L: 1; Đã xuất hàng giữ chỗ
(consumed)</x:v>
      </x:c>
      <x:c r="I44" s="11" t="str">
        <x:v>SYN</x:v>
      </x:c>
      <x:c r="J44" s="2"/>
      <x:c r="K44" s="2"/>
      <x:c r="L44" s="2"/>
    </x:row>
    <x:row r="45" ht="68" customHeight="1">
      <x:c r="A45" s="12" t="str">
        <x:v>SYN-HS-DH-04</x:v>
      </x:c>
      <x:c r="B45" s="12" t="str">
        <x:v>SYN-HS-DH-04-F2</x:v>
      </x:c>
      <x:c r="C45" s="12" t="str">
        <x:v>SYN-KHO-HCM</x:v>
      </x:c>
      <x:c r="D45" s="12" t="str">
        <x:v>Đã giao
(delivered)</x:v>
      </x:c>
      <x:c r="E45" s="12" t="str">
        <x:v>SYN-CARRIER</x:v>
      </x:c>
      <x:c r="F45" s="12" t="str">
        <x:v>SYN-HS-DH-04-TRACK2</x:v>
      </x:c>
      <x:c r="G45" s="12" t="str"/>
      <x:c r="H45" s="12" t="str">
        <x:v>SYN-PANTS-BEI-M: 1; Đã xuất hàng giữ chỗ
(consumed)</x:v>
      </x:c>
      <x:c r="I45" s="12" t="str">
        <x:v>SYN</x:v>
      </x:c>
      <x:c r="J45" s="2"/>
      <x:c r="K45" s="2"/>
      <x:c r="L45" s="2"/>
    </x:row>
    <x:row r="46" ht="68" customHeight="1">
      <x:c r="A46" s="11" t="str">
        <x:v>SYN-HS-DH-05</x:v>
      </x:c>
      <x:c r="B46" s="11" t="str">
        <x:v>SYN-HS-DH-05-F1</x:v>
      </x:c>
      <x:c r="C46" s="11" t="str">
        <x:v>SYN-KHO-HN</x:v>
      </x:c>
      <x:c r="D46" s="11" t="str">
        <x:v>Đang chờ
(pending)</x:v>
      </x:c>
      <x:c r="E46" s="11" t="str"/>
      <x:c r="F46" s="11" t="str"/>
      <x:c r="G46" s="11" t="str"/>
      <x:c r="H46" s="11" t="str">
        <x:v>SYN-POLO-NAV-M: 1; Đang giữ hàng
(active)</x:v>
      </x:c>
      <x:c r="I46" s="11" t="str">
        <x:v>SYN</x:v>
      </x:c>
      <x:c r="J46" s="2"/>
      <x:c r="K46" s="2"/>
      <x:c r="L46" s="2"/>
    </x:row>
    <x:row r="47" ht="68" customHeight="1">
      <x:c r="A47" s="12" t="str">
        <x:v>SYN-HS-DH-06</x:v>
      </x:c>
      <x:c r="B47" s="12" t="str">
        <x:v>SYN-HS-DH-06-F1</x:v>
      </x:c>
      <x:c r="C47" s="12" t="str">
        <x:v>SYN-KHO-HCM</x:v>
      </x:c>
      <x:c r="D47" s="12" t="str">
        <x:v>Đang chờ
(pending)</x:v>
      </x:c>
      <x:c r="E47" s="12" t="str"/>
      <x:c r="F47" s="12" t="str"/>
      <x:c r="G47" s="12" t="str"/>
      <x:c r="H47" s="12" t="str">
        <x:v>SYN-DRESS-BLU-S: 1; Đang giữ hàng
(active)</x:v>
      </x:c>
      <x:c r="I47" s="12" t="str">
        <x:v>SYN</x:v>
      </x:c>
      <x:c r="J47" s="2"/>
      <x:c r="K47" s="2"/>
      <x:c r="L47" s="2"/>
    </x:row>
    <x:row r="48" ht="68" customHeight="1">
      <x:c r="A48" s="11" t="str">
        <x:v>SYN-HS-DH-07</x:v>
      </x:c>
      <x:c r="B48" s="11" t="str">
        <x:v>SYN-HS-DH-07-F1</x:v>
      </x:c>
      <x:c r="C48" s="11" t="str">
        <x:v>SYN-KHO-HN</x:v>
      </x:c>
      <x:c r="D48" s="11" t="str">
        <x:v>Đang xử lý
(processing)</x:v>
      </x:c>
      <x:c r="E48" s="11" t="str"/>
      <x:c r="F48" s="11" t="str"/>
      <x:c r="G48" s="11" t="str"/>
      <x:c r="H48" s="11" t="str">
        <x:v>SYN-TEE-BLK-M: 2; Đang giữ hàng
(active)</x:v>
      </x:c>
      <x:c r="I48" s="11" t="str">
        <x:v>SYN</x:v>
      </x:c>
      <x:c r="J48" s="2"/>
      <x:c r="K48" s="2"/>
      <x:c r="L48" s="2"/>
    </x:row>
    <x:row r="49" ht="68" customHeight="1">
      <x:c r="A49" s="12" t="str">
        <x:v>SYN-HS-DH-07</x:v>
      </x:c>
      <x:c r="B49" s="12" t="str">
        <x:v>SYN-HS-DH-07-F2</x:v>
      </x:c>
      <x:c r="C49" s="12" t="str">
        <x:v>SYN-KHO-HCM</x:v>
      </x:c>
      <x:c r="D49" s="12" t="str">
        <x:v>Đang xử lý
(processing)</x:v>
      </x:c>
      <x:c r="E49" s="12" t="str"/>
      <x:c r="F49" s="12" t="str"/>
      <x:c r="G49" s="12" t="str"/>
      <x:c r="H49" s="12" t="str">
        <x:v>SYN-PANTS-BEI-M: 1; Đang giữ hàng
(active)</x:v>
      </x:c>
      <x:c r="I49" s="12" t="str">
        <x:v>SYN</x:v>
      </x:c>
      <x:c r="J49" s="2"/>
      <x:c r="K49" s="2"/>
      <x:c r="L49" s="2"/>
    </x:row>
    <x:row r="50" ht="68" customHeight="1">
      <x:c r="A50" s="11" t="str">
        <x:v>SYN-HS-DH-08</x:v>
      </x:c>
      <x:c r="B50" s="11" t="str">
        <x:v>SYN-HS-DH-08-F1</x:v>
      </x:c>
      <x:c r="C50" s="11" t="str">
        <x:v>SYN-KHO-HN</x:v>
      </x:c>
      <x:c r="D50" s="11" t="str">
        <x:v>Sẵn sàng bàn giao
(ready_to_ship)</x:v>
      </x:c>
      <x:c r="E50" s="11" t="str">
        <x:v>SYN-CARRIER</x:v>
      </x:c>
      <x:c r="F50" s="11" t="str">
        <x:v>SYN-HS-DH-08-TRACK1</x:v>
      </x:c>
      <x:c r="G50" s="11" t="str"/>
      <x:c r="H50" s="11" t="str">
        <x:v>SYN-SHIRT-WHT-L: 1; Đang giữ hàng
(active)</x:v>
      </x:c>
      <x:c r="I50" s="11" t="str">
        <x:v>SYN</x:v>
      </x:c>
      <x:c r="J50" s="2"/>
      <x:c r="K50" s="2"/>
      <x:c r="L50" s="2"/>
    </x:row>
    <x:row r="51" ht="68" customHeight="1">
      <x:c r="A51" s="12" t="str">
        <x:v>SYN-HS-DH-08</x:v>
      </x:c>
      <x:c r="B51" s="12" t="str">
        <x:v>SYN-HS-DH-08-F2</x:v>
      </x:c>
      <x:c r="C51" s="12" t="str">
        <x:v>SYN-KHO-HCM</x:v>
      </x:c>
      <x:c r="D51" s="12" t="str">
        <x:v>Sẵn sàng bàn giao
(ready_to_ship)</x:v>
      </x:c>
      <x:c r="E51" s="12" t="str">
        <x:v>SYN-CARRIER</x:v>
      </x:c>
      <x:c r="F51" s="12" t="str">
        <x:v>SYN-HS-DH-08-TRACK2</x:v>
      </x:c>
      <x:c r="G51" s="12" t="str"/>
      <x:c r="H51" s="12" t="str">
        <x:v>SYN-DRESS-BLU-S: 1; Đang giữ hàng
(active)</x:v>
      </x:c>
      <x:c r="I51" s="12" t="str">
        <x:v>SYN</x:v>
      </x:c>
      <x:c r="J51" s="2"/>
      <x:c r="K51" s="2"/>
      <x:c r="L51" s="2"/>
    </x:row>
    <x:row r="52" ht="68" customHeight="1">
      <x:c r="A52" s="11" t="str">
        <x:v>SYN-HS-DH-09</x:v>
      </x:c>
      <x:c r="B52" s="11" t="str">
        <x:v>SYN-HS-DH-09-F1</x:v>
      </x:c>
      <x:c r="C52" s="11" t="str">
        <x:v>SYN-KHO-HN</x:v>
      </x:c>
      <x:c r="D52" s="11" t="str">
        <x:v>Đã bàn giao vận chuyển
(shipped)</x:v>
      </x:c>
      <x:c r="E52" s="11" t="str">
        <x:v>SYN-CARRIER</x:v>
      </x:c>
      <x:c r="F52" s="11" t="str">
        <x:v>SYN-HS-DH-09-TRACK1</x:v>
      </x:c>
      <x:c r="G52" s="11" t="str"/>
      <x:c r="H52" s="11" t="str">
        <x:v>SYN-TEE-BLK-M: 1; Đã xuất hàng giữ chỗ
(consumed)</x:v>
      </x:c>
      <x:c r="I52" s="11" t="str">
        <x:v>SYN</x:v>
      </x:c>
      <x:c r="J52" s="2"/>
      <x:c r="K52" s="2"/>
      <x:c r="L52" s="2"/>
    </x:row>
    <x:row r="53" ht="68" customHeight="1">
      <x:c r="A53" s="12" t="str">
        <x:v>SYN-HS-DH-09</x:v>
      </x:c>
      <x:c r="B53" s="12" t="str">
        <x:v>SYN-HS-DH-09-F2</x:v>
      </x:c>
      <x:c r="C53" s="12" t="str">
        <x:v>SYN-KHO-HCM</x:v>
      </x:c>
      <x:c r="D53" s="12" t="str">
        <x:v>Đang xử lý
(processing)</x:v>
      </x:c>
      <x:c r="E53" s="12" t="str"/>
      <x:c r="F53" s="12" t="str"/>
      <x:c r="G53" s="12" t="str"/>
      <x:c r="H53" s="12" t="str">
        <x:v>SYN-PANTS-BEI-M: 1; Đang giữ hàng
(active)</x:v>
      </x:c>
      <x:c r="I53" s="12" t="str">
        <x:v>SYN</x:v>
      </x:c>
      <x:c r="J53" s="2"/>
      <x:c r="K53" s="2"/>
      <x:c r="L53" s="2"/>
    </x:row>
    <x:row r="54" ht="68" customHeight="1">
      <x:c r="A54" s="11" t="str">
        <x:v>SYN-HS-DH-10</x:v>
      </x:c>
      <x:c r="B54" s="11" t="str">
        <x:v>SYN-HS-DH-10-F1</x:v>
      </x:c>
      <x:c r="C54" s="11" t="str">
        <x:v>SYN-KHO-HN</x:v>
      </x:c>
      <x:c r="D54" s="11" t="str">
        <x:v>Đã giao
(delivered)</x:v>
      </x:c>
      <x:c r="E54" s="11" t="str">
        <x:v>SYN-CARRIER</x:v>
      </x:c>
      <x:c r="F54" s="11" t="str">
        <x:v>SYN-HS-DH-10-TRACK1</x:v>
      </x:c>
      <x:c r="G54" s="11" t="str"/>
      <x:c r="H54" s="11" t="str">
        <x:v>SYN-SHIRT-WHT-L: 1; Đã xuất hàng giữ chỗ
(consumed)</x:v>
      </x:c>
      <x:c r="I54" s="11" t="str">
        <x:v>SYN</x:v>
      </x:c>
      <x:c r="J54" s="2"/>
      <x:c r="K54" s="2"/>
      <x:c r="L54" s="2"/>
    </x:row>
    <x:row r="55" ht="68" customHeight="1">
      <x:c r="A55" s="12" t="str">
        <x:v>SYN-HS-DH-10</x:v>
      </x:c>
      <x:c r="B55" s="12" t="str">
        <x:v>SYN-HS-DH-10-F2</x:v>
      </x:c>
      <x:c r="C55" s="12" t="str">
        <x:v>SYN-KHO-HCM</x:v>
      </x:c>
      <x:c r="D55" s="12" t="str">
        <x:v>Đã bàn giao vận chuyển
(shipped)</x:v>
      </x:c>
      <x:c r="E55" s="12" t="str">
        <x:v>SYN-CARRIER</x:v>
      </x:c>
      <x:c r="F55" s="12" t="str">
        <x:v>SYN-HS-DH-10-TRACK2</x:v>
      </x:c>
      <x:c r="G55" s="12" t="str"/>
      <x:c r="H55" s="12" t="str">
        <x:v>SYN-PANTS-BEI-M: 1; Đã xuất hàng giữ chỗ
(consumed)</x:v>
      </x:c>
      <x:c r="I55" s="12" t="str">
        <x:v>SYN</x:v>
      </x:c>
      <x:c r="J55" s="2"/>
      <x:c r="K55" s="2"/>
      <x:c r="L55" s="2"/>
    </x:row>
    <x:row r="56" ht="68" customHeight="1">
      <x:c r="A56" s="11" t="str">
        <x:v>SYN-HS-DH-11</x:v>
      </x:c>
      <x:c r="B56" s="11" t="str">
        <x:v>SYN-HS-DH-11-F1</x:v>
      </x:c>
      <x:c r="C56" s="11" t="str">
        <x:v>SYN-KHO-HN</x:v>
      </x:c>
      <x:c r="D56" s="11" t="str">
        <x:v>Đã bàn giao vận chuyển
(shipped)</x:v>
      </x:c>
      <x:c r="E56" s="11" t="str">
        <x:v>SYN-CARRIER</x:v>
      </x:c>
      <x:c r="F56" s="11" t="str">
        <x:v>SYN-HS-DH-11-TRACK1</x:v>
      </x:c>
      <x:c r="G56" s="11" t="str"/>
      <x:c r="H56" s="11" t="str">
        <x:v>SYN-POLO-NAV-M: 1; Đã xuất hàng giữ chỗ
(consumed)</x:v>
      </x:c>
      <x:c r="I56" s="11" t="str">
        <x:v>SYN</x:v>
      </x:c>
      <x:c r="J56" s="2"/>
      <x:c r="K56" s="2"/>
      <x:c r="L56" s="2"/>
    </x:row>
    <x:row r="57" ht="68" customHeight="1">
      <x:c r="A57" s="12" t="str">
        <x:v>SYN-HS-DH-11</x:v>
      </x:c>
      <x:c r="B57" s="12" t="str">
        <x:v>SYN-HS-DH-11-F2</x:v>
      </x:c>
      <x:c r="C57" s="12" t="str">
        <x:v>SYN-KHO-HCM</x:v>
      </x:c>
      <x:c r="D57" s="12" t="str">
        <x:v>Đã bàn giao vận chuyển
(shipped)</x:v>
      </x:c>
      <x:c r="E57" s="12" t="str">
        <x:v>SYN-CARRIER</x:v>
      </x:c>
      <x:c r="F57" s="12" t="str">
        <x:v>SYN-HS-DH-11-TRACK2</x:v>
      </x:c>
      <x:c r="G57" s="12" t="str"/>
      <x:c r="H57" s="12" t="str">
        <x:v>SYN-JACKET-GRY-L: 1; Đã xuất hàng giữ chỗ
(consumed)</x:v>
      </x:c>
      <x:c r="I57" s="12" t="str">
        <x:v>SYN</x:v>
      </x:c>
      <x:c r="J57" s="2"/>
      <x:c r="K57" s="2"/>
      <x:c r="L57" s="2"/>
    </x:row>
    <x:row r="58" ht="68" customHeight="1">
      <x:c r="A58" s="11" t="str">
        <x:v>SYN-HS-DH-12</x:v>
      </x:c>
      <x:c r="B58" s="11" t="str">
        <x:v>SYN-HS-DH-12-F1</x:v>
      </x:c>
      <x:c r="C58" s="11" t="str">
        <x:v>SYN-KHO-HN</x:v>
      </x:c>
      <x:c r="D58" s="11" t="str">
        <x:v>Đã hủy
(cancelled)</x:v>
      </x:c>
      <x:c r="E58" s="11" t="str"/>
      <x:c r="F58" s="11" t="str"/>
      <x:c r="G58" s="11" t="str">
        <x:v>Khách giả định đổi nhu cầu trước đóng gói.</x:v>
      </x:c>
      <x:c r="H58" s="11" t="str">
        <x:v>SYN-TEE-BLK-M: 1; Đã trả lại hàng giữ chỗ
(released)</x:v>
      </x:c>
      <x:c r="I58" s="11" t="str">
        <x:v>SYN</x:v>
      </x:c>
      <x:c r="J58" s="2"/>
      <x:c r="K58" s="2"/>
      <x:c r="L58" s="2"/>
    </x:row>
    <x:row r="59" ht="68" customHeight="1">
      <x:c r="A59" s="12" t="str">
        <x:v>SYN-HS-DH-13</x:v>
      </x:c>
      <x:c r="B59" s="12" t="str">
        <x:v>SYN-HS-DH-13-F1</x:v>
      </x:c>
      <x:c r="C59" s="12" t="str">
        <x:v>SYN-KHO-HCM</x:v>
      </x:c>
      <x:c r="D59" s="12" t="str">
        <x:v>Đã hủy
(cancelled)</x:v>
      </x:c>
      <x:c r="E59" s="12" t="str"/>
      <x:c r="F59" s="12" t="str"/>
      <x:c r="G59" s="12" t="str">
        <x:v>Khách giả định yêu cầu hủy trước thanh toán và trước xuất kho.</x:v>
      </x:c>
      <x:c r="H59" s="12" t="str">
        <x:v>SYN-DRESS-BLU-S: 1; Đã trả lại hàng giữ chỗ
(released)</x:v>
      </x:c>
      <x:c r="I59" s="12" t="str">
        <x:v>SYN</x:v>
      </x:c>
      <x:c r="J59" s="2"/>
      <x:c r="K59" s="2"/>
      <x:c r="L59" s="2"/>
    </x:row>
    <x:row r="60" ht="68" customHeight="1">
      <x:c r="A60" s="11" t="str">
        <x:v>SYN-HS-DH-14</x:v>
      </x:c>
      <x:c r="B60" s="11" t="str">
        <x:v>SYN-HS-DH-14-F1</x:v>
      </x:c>
      <x:c r="C60" s="11" t="str">
        <x:v>SYN-KHO-HN</x:v>
      </x:c>
      <x:c r="D60" s="11" t="str">
        <x:v>Đã hủy
(cancelled)</x:v>
      </x:c>
      <x:c r="E60" s="11" t="str"/>
      <x:c r="F60" s="11" t="str"/>
      <x:c r="G60" s="11" t="str">
        <x:v>Đã ghi hoàn toàn bộ tiền giả lập; khách giả định yêu cầu hủy cả đơn trước bàn giao.</x:v>
      </x:c>
      <x:c r="H60" s="11" t="str">
        <x:v>SYN-SHIRT-WHT-L: 1; Đã trả lại hàng giữ chỗ
(released)</x:v>
      </x:c>
      <x:c r="I60" s="11" t="str">
        <x:v>SYN</x:v>
      </x:c>
      <x:c r="J60" s="2"/>
      <x:c r="K60" s="2"/>
      <x:c r="L60" s="2"/>
    </x:row>
    <x:row r="61" ht="68" customHeight="1">
      <x:c r="A61" s="12" t="str">
        <x:v>SYN-HS-DH-14</x:v>
      </x:c>
      <x:c r="B61" s="12" t="str">
        <x:v>SYN-HS-DH-14-F2</x:v>
      </x:c>
      <x:c r="C61" s="12" t="str">
        <x:v>SYN-KHO-HCM</x:v>
      </x:c>
      <x:c r="D61" s="12" t="str">
        <x:v>Đã hủy
(cancelled)</x:v>
      </x:c>
      <x:c r="E61" s="12" t="str"/>
      <x:c r="F61" s="12" t="str"/>
      <x:c r="G61" s="12" t="str">
        <x:v>Đã ghi hoàn toàn bộ tiền giả lập; khách giả định yêu cầu hủy cả đơn trước bàn giao.</x:v>
      </x:c>
      <x:c r="H61" s="12" t="str">
        <x:v>SYN-PANTS-BEI-M: 1; Đã trả lại hàng giữ chỗ
(released)</x:v>
      </x:c>
      <x:c r="I61" s="12" t="str">
        <x:v>SYN</x:v>
      </x:c>
      <x:c r="J61" s="2"/>
      <x:c r="K61" s="2"/>
      <x:c r="L61" s="2"/>
    </x:row>
    <x:row r="62" ht="68" customHeight="1">
      <x:c r="A62" s="11" t="str">
        <x:v>SYN-HS-DH-15</x:v>
      </x:c>
      <x:c r="B62" s="11" t="str">
        <x:v>SYN-HS-DH-15-F1</x:v>
      </x:c>
      <x:c r="C62" s="11" t="str">
        <x:v>SYN-KHO-HN</x:v>
      </x:c>
      <x:c r="D62" s="11" t="str">
        <x:v>Thất bại
(failed)</x:v>
      </x:c>
      <x:c r="E62" s="11" t="str">
        <x:v>SYN-CARRIER</x:v>
      </x:c>
      <x:c r="F62" s="11" t="str">
        <x:v>SYN-HS-DH-15-TRACK1</x:v>
      </x:c>
      <x:c r="G62" s="11" t="str">
        <x:v>Không liên hệ được người nhận giả định trong lần giao thử.</x:v>
      </x:c>
      <x:c r="H62" s="11" t="str">
        <x:v>SYN-POLO-NAV-M: 1; Đã xuất hàng giữ chỗ
(consumed)</x:v>
      </x:c>
      <x:c r="I62" s="11" t="str">
        <x:v>SYN</x:v>
      </x:c>
      <x:c r="J62" s="2"/>
      <x:c r="K62" s="2"/>
      <x:c r="L62" s="2"/>
    </x:row>
    <x:row r="63" ht="68" customHeight="1">
      <x:c r="A63" s="12" t="str">
        <x:v>SYN-HS-DH-16</x:v>
      </x:c>
      <x:c r="B63" s="12" t="str">
        <x:v>SYN-HS-DH-16-F1</x:v>
      </x:c>
      <x:c r="C63" s="12" t="str">
        <x:v>SYN-KHO-HCM</x:v>
      </x:c>
      <x:c r="D63" s="12" t="str">
        <x:v>Thất bại
(failed)</x:v>
      </x:c>
      <x:c r="E63" s="12" t="str">
        <x:v>SYN-CARRIER</x:v>
      </x:c>
      <x:c r="F63" s="12" t="str">
        <x:v>SYN-HS-DH-16-TRACK1</x:v>
      </x:c>
      <x:c r="G63" s="12" t="str">
        <x:v>Điểm giao giả định tạm thời không tiếp nhận, chờ hẹn lại.</x:v>
      </x:c>
      <x:c r="H63" s="12" t="str">
        <x:v>SYN-JACKET-GRY-L: 1; Đã xuất hàng giữ chỗ
(consumed)</x:v>
      </x:c>
      <x:c r="I63" s="12" t="str">
        <x:v>SYN</x:v>
      </x:c>
      <x:c r="J63" s="2"/>
      <x:c r="K63" s="2"/>
      <x:c r="L63" s="2"/>
    </x:row>
    <x:row r="64" ht="68" customHeight="1">
      <x:c r="A64" s="11" t="str">
        <x:v>SYN-HS-DH-17</x:v>
      </x:c>
      <x:c r="B64" s="11" t="str">
        <x:v>SYN-HS-DH-17-F1</x:v>
      </x:c>
      <x:c r="C64" s="11" t="str">
        <x:v>SYN-KHO-HN</x:v>
      </x:c>
      <x:c r="D64" s="11" t="str">
        <x:v>Hàng đã trả về
(returned)</x:v>
      </x:c>
      <x:c r="E64" s="11" t="str">
        <x:v>SYN-CARRIER</x:v>
      </x:c>
      <x:c r="F64" s="11" t="str">
        <x:v>SYN-HS-DH-17-TRACK1</x:v>
      </x:c>
      <x:c r="G64" s="11" t="str">
        <x:v>Người nhận giả định từ chối nhận; hàng trả về sau khi đã bàn giao vận chuyển.</x:v>
      </x:c>
      <x:c r="H64" s="11" t="str">
        <x:v>SYN-TEE-BLK-M: 1; Đã xuất hàng giữ chỗ
(consumed)</x:v>
      </x:c>
      <x:c r="I64" s="11" t="str">
        <x:v>SYN</x:v>
      </x:c>
      <x:c r="J64" s="2"/>
      <x:c r="K64" s="2"/>
      <x:c r="L64" s="2"/>
    </x:row>
    <x:row r="65" ht="68" customHeight="1">
      <x:c r="A65" s="12" t="str">
        <x:v>SYN-HS-DH-18</x:v>
      </x:c>
      <x:c r="B65" s="12" t="str">
        <x:v>SYN-HS-DH-18-F1</x:v>
      </x:c>
      <x:c r="C65" s="12" t="str">
        <x:v>SYN-KHO-HCM</x:v>
      </x:c>
      <x:c r="D65" s="12" t="str">
        <x:v>Hàng đã trả về
(returned)</x:v>
      </x:c>
      <x:c r="E65" s="12" t="str">
        <x:v>SYN-CARRIER</x:v>
      </x:c>
      <x:c r="F65" s="12" t="str">
        <x:v>SYN-HS-DH-18-TRACK1</x:v>
      </x:c>
      <x:c r="G65" s="12" t="str">
        <x:v>Toàn bộ hàng trả về sau giao; thông báo hoàn toàn bộ tiền giả lập đã được xử lý.</x:v>
      </x:c>
      <x:c r="H65" s="12" t="str">
        <x:v>SYN-DRESS-BLU-S: 1; Đã xuất hàng giữ chỗ
(consumed)</x:v>
      </x:c>
      <x:c r="I65" s="12" t="str">
        <x:v>SYN</x:v>
      </x:c>
      <x:c r="J65" s="2"/>
      <x:c r="K65" s="2"/>
      <x:c r="L65" s="2"/>
    </x:row>
    <x:row r="66" ht="68" customHeight="1">
      <x:c r="A66" s="11" t="str">
        <x:v>SYN-HS-DH-19</x:v>
      </x:c>
      <x:c r="B66" s="11" t="str">
        <x:v>SYN-HS-DH-19-F1</x:v>
      </x:c>
      <x:c r="C66" s="11" t="str">
        <x:v>SYN-KHO-HN</x:v>
      </x:c>
      <x:c r="D66" s="11" t="str">
        <x:v>Hàng đã trả về
(returned)</x:v>
      </x:c>
      <x:c r="E66" s="11" t="str">
        <x:v>SYN-CARRIER</x:v>
      </x:c>
      <x:c r="F66" s="11" t="str">
        <x:v>SYN-HS-DH-19-TRACK1</x:v>
      </x:c>
      <x:c r="G66" s="11" t="str">
        <x:v>Người nhận giả định từ chối toàn bộ đơn.</x:v>
      </x:c>
      <x:c r="H66" s="11" t="str">
        <x:v>SYN-SHIRT-WHT-L: 1; Đã xuất hàng giữ chỗ
(consumed)</x:v>
      </x:c>
      <x:c r="I66" s="11" t="str">
        <x:v>SYN</x:v>
      </x:c>
      <x:c r="J66" s="2"/>
      <x:c r="K66" s="2"/>
      <x:c r="L66" s="2"/>
    </x:row>
    <x:row r="67" ht="68" customHeight="1">
      <x:c r="A67" s="12" t="str">
        <x:v>SYN-HS-DH-19</x:v>
      </x:c>
      <x:c r="B67" s="12" t="str">
        <x:v>SYN-HS-DH-19-F2</x:v>
      </x:c>
      <x:c r="C67" s="12" t="str">
        <x:v>SYN-KHO-HCM</x:v>
      </x:c>
      <x:c r="D67" s="12" t="str">
        <x:v>Hàng đã trả về
(returned)</x:v>
      </x:c>
      <x:c r="E67" s="12" t="str">
        <x:v>SYN-CARRIER</x:v>
      </x:c>
      <x:c r="F67" s="12" t="str">
        <x:v>SYN-HS-DH-19-TRACK2</x:v>
      </x:c>
      <x:c r="G67" s="12" t="str">
        <x:v>Người nhận giả định từ chối toàn bộ đơn.</x:v>
      </x:c>
      <x:c r="H67" s="12" t="str">
        <x:v>SYN-PANTS-BEI-M: 1; Đã xuất hàng giữ chỗ
(consumed)</x:v>
      </x:c>
      <x:c r="I67" s="12" t="str">
        <x:v>SYN</x:v>
      </x:c>
      <x:c r="J67" s="2"/>
      <x:c r="K67" s="2"/>
      <x:c r="L67" s="2"/>
    </x:row>
    <x:row r="68" ht="68" customHeight="1">
      <x:c r="A68" s="11" t="str">
        <x:v>SYN-HS-DH-20</x:v>
      </x:c>
      <x:c r="B68" s="11" t="str">
        <x:v>SYN-HS-DH-20-F1</x:v>
      </x:c>
      <x:c r="C68" s="11" t="str">
        <x:v>SYN-KHO-HN</x:v>
      </x:c>
      <x:c r="D68" s="11" t="str">
        <x:v>Hàng đã trả về
(returned)</x:v>
      </x:c>
      <x:c r="E68" s="11" t="str">
        <x:v>SYN-CARRIER</x:v>
      </x:c>
      <x:c r="F68" s="11" t="str">
        <x:v>SYN-HS-DH-20-TRACK1</x:v>
      </x:c>
      <x:c r="G68" s="11" t="str">
        <x:v>Toàn bộ hàng hoàn, chờ quyết định hoàn tiền theo quy trình ngoài hệ thống.</x:v>
      </x:c>
      <x:c r="H68" s="11" t="str">
        <x:v>SYN-TEE-BLK-M: 2; Đã xuất hàng giữ chỗ
(consumed)</x:v>
      </x:c>
      <x:c r="I68" s="11" t="str">
        <x:v>SYN</x:v>
      </x:c>
      <x:c r="J68" s="2"/>
      <x:c r="K68" s="2"/>
      <x:c r="L68" s="2"/>
    </x:row>
    <x:row r="69" ht="68" customHeight="1">
      <x:c r="A69" s="12" t="str">
        <x:v>SYN-HS-DH-20</x:v>
      </x:c>
      <x:c r="B69" s="12" t="str">
        <x:v>SYN-HS-DH-20-F2</x:v>
      </x:c>
      <x:c r="C69" s="12" t="str">
        <x:v>SYN-KHO-HCM</x:v>
      </x:c>
      <x:c r="D69" s="12" t="str">
        <x:v>Hàng đã trả về
(returned)</x:v>
      </x:c>
      <x:c r="E69" s="12" t="str">
        <x:v>SYN-CARRIER</x:v>
      </x:c>
      <x:c r="F69" s="12" t="str">
        <x:v>SYN-HS-DH-20-TRACK2</x:v>
      </x:c>
      <x:c r="G69" s="12" t="str">
        <x:v>Toàn bộ hàng hoàn, chờ quyết định hoàn tiền theo quy trình ngoài hệ thống.</x:v>
      </x:c>
      <x:c r="H69" s="12" t="str">
        <x:v>SYN-PANTS-BEI-M: 1; Đã xuất hàng giữ chỗ
(consumed)</x:v>
      </x:c>
      <x:c r="I69" s="12" t="str">
        <x:v>SYN</x:v>
      </x:c>
      <x:c r="J69" s="2"/>
      <x:c r="K69" s="2"/>
      <x:c r="L69" s="2"/>
    </x:row>
    <x:row r="70" ht="24" customHeight="1">
      <x:c r="A70" s="2"/>
      <x:c r="B70" s="2"/>
      <x:c r="C70" s="2"/>
      <x:c r="D70" s="2"/>
      <x:c r="E70" s="2"/>
      <x:c r="F70" s="2"/>
      <x:c r="G70" s="2"/>
      <x:c r="H70" s="2"/>
      <x:c r="I70" s="2"/>
      <x:c r="J70" s="2"/>
      <x:c r="K70" s="2"/>
      <x:c r="L70" s="2"/>
    </x:row>
    <x:row r="71" ht="24" customHeight="1">
      <x:c r="A71" s="2"/>
      <x:c r="B71" s="2"/>
      <x:c r="C71" s="2"/>
      <x:c r="D71" s="2"/>
      <x:c r="E71" s="2"/>
      <x:c r="F71" s="2"/>
      <x:c r="G71" s="2"/>
      <x:c r="H71" s="2"/>
      <x:c r="I71" s="2"/>
      <x:c r="J71" s="2"/>
      <x:c r="K71" s="2"/>
      <x:c r="L71" s="2"/>
    </x:row>
    <x:row r="72" ht="24" customHeight="1">
      <x:c r="A72" s="2"/>
      <x:c r="B72" s="2"/>
      <x:c r="C72" s="2"/>
      <x:c r="D72" s="2"/>
      <x:c r="E72" s="2"/>
      <x:c r="F72" s="2"/>
      <x:c r="G72" s="2"/>
      <x:c r="H72" s="2"/>
      <x:c r="I72" s="2"/>
      <x:c r="J72" s="2"/>
      <x:c r="K72" s="2"/>
      <x:c r="L72" s="2"/>
    </x:row>
    <x:row r="73" ht="24" customHeight="1">
      <x:c r="A73" s="2"/>
      <x:c r="B73" s="2"/>
      <x:c r="C73" s="2"/>
      <x:c r="D73" s="2"/>
      <x:c r="E73" s="2"/>
      <x:c r="F73" s="2"/>
      <x:c r="G73" s="2"/>
      <x:c r="H73" s="2"/>
      <x:c r="I73" s="2"/>
      <x:c r="J73" s="2"/>
      <x:c r="K73" s="2"/>
      <x:c r="L73" s="2"/>
    </x:row>
    <x:row r="74" ht="24" customHeight="1">
      <x:c r="A74" s="2"/>
      <x:c r="B74" s="2"/>
      <x:c r="C74" s="2"/>
      <x:c r="D74" s="2"/>
      <x:c r="E74" s="2"/>
      <x:c r="F74" s="2"/>
      <x:c r="G74" s="2"/>
      <x:c r="H74" s="2"/>
      <x:c r="I74" s="2"/>
      <x:c r="J74" s="2"/>
      <x:c r="K74" s="2"/>
      <x:c r="L74" s="2"/>
    </x:row>
    <x:row r="75" ht="24" customHeight="1">
      <x:c r="A75" s="2"/>
      <x:c r="B75" s="2"/>
      <x:c r="C75" s="2"/>
      <x:c r="D75" s="2"/>
      <x:c r="E75" s="2"/>
      <x:c r="F75" s="2"/>
      <x:c r="G75" s="2"/>
      <x:c r="H75" s="2"/>
      <x:c r="I75" s="2"/>
      <x:c r="J75" s="2"/>
      <x:c r="K75" s="2"/>
      <x:c r="L75" s="2"/>
    </x:row>
    <x:row r="76" ht="24" customHeight="1">
      <x:c r="A76" s="2"/>
      <x:c r="B76" s="2"/>
      <x:c r="C76" s="2"/>
      <x:c r="D76" s="2"/>
      <x:c r="E76" s="2"/>
      <x:c r="F76" s="2"/>
      <x:c r="G76" s="2"/>
      <x:c r="H76" s="2"/>
      <x:c r="I76" s="2"/>
      <x:c r="J76" s="2"/>
      <x:c r="K76" s="2"/>
      <x:c r="L76" s="2"/>
    </x:row>
    <x:row r="77" ht="24" customHeight="1">
      <x:c r="A77" s="2"/>
      <x:c r="B77" s="2"/>
      <x:c r="C77" s="2"/>
      <x:c r="D77" s="2"/>
      <x:c r="E77" s="2"/>
      <x:c r="F77" s="2"/>
      <x:c r="G77" s="2"/>
      <x:c r="H77" s="2"/>
      <x:c r="I77" s="2"/>
      <x:c r="J77" s="2"/>
      <x:c r="K77" s="2"/>
      <x:c r="L77" s="2"/>
    </x:row>
    <x:row r="78" ht="24" customHeight="1">
      <x:c r="A78" s="2"/>
      <x:c r="B78" s="2"/>
      <x:c r="C78" s="2"/>
      <x:c r="D78" s="2"/>
      <x:c r="E78" s="2"/>
      <x:c r="F78" s="2"/>
      <x:c r="G78" s="2"/>
      <x:c r="H78" s="2"/>
      <x:c r="I78" s="2"/>
      <x:c r="J78" s="2"/>
      <x:c r="K78" s="2"/>
      <x:c r="L78" s="2"/>
    </x:row>
    <x:row r="79" ht="24" customHeight="1">
      <x:c r="A79" s="2"/>
      <x:c r="B79" s="2"/>
      <x:c r="C79" s="2"/>
      <x:c r="D79" s="2"/>
      <x:c r="E79" s="2"/>
      <x:c r="F79" s="2"/>
      <x:c r="G79" s="2"/>
      <x:c r="H79" s="2"/>
      <x:c r="I79" s="2"/>
      <x:c r="J79" s="2"/>
      <x:c r="K79" s="2"/>
      <x:c r="L79" s="2"/>
    </x:row>
    <x:row r="80" ht="24" customHeight="1">
      <x:c r="A80" s="2"/>
      <x:c r="B80" s="2"/>
      <x:c r="C80" s="2"/>
      <x:c r="D80" s="2"/>
      <x:c r="E80" s="2"/>
      <x:c r="F80" s="2"/>
      <x:c r="G80" s="2"/>
      <x:c r="H80" s="2"/>
      <x:c r="I80" s="2"/>
      <x:c r="J80" s="2"/>
      <x:c r="K80" s="2"/>
      <x:c r="L80" s="2"/>
    </x:row>
    <x:row r="81" ht="24" customHeight="1">
      <x:c r="A81" s="2"/>
      <x:c r="B81" s="2"/>
      <x:c r="C81" s="2"/>
      <x:c r="D81" s="2"/>
      <x:c r="E81" s="2"/>
      <x:c r="F81" s="2"/>
      <x:c r="G81" s="2"/>
      <x:c r="H81" s="2"/>
      <x:c r="I81" s="2"/>
      <x:c r="J81" s="2"/>
      <x:c r="K81" s="2"/>
      <x:c r="L81" s="2"/>
    </x:row>
    <x:row r="82" ht="24" customHeight="1">
      <x:c r="A82" s="2"/>
      <x:c r="B82" s="2"/>
      <x:c r="C82" s="2"/>
      <x:c r="D82" s="2"/>
      <x:c r="E82" s="2"/>
      <x:c r="F82" s="2"/>
      <x:c r="G82" s="2"/>
      <x:c r="H82" s="2"/>
      <x:c r="I82" s="2"/>
      <x:c r="J82" s="2"/>
      <x:c r="K82" s="2"/>
      <x:c r="L82" s="2"/>
    </x:row>
    <x:row r="83" ht="24" customHeight="1">
      <x:c r="A83" s="2"/>
      <x:c r="B83" s="2"/>
      <x:c r="C83" s="2"/>
      <x:c r="D83" s="2"/>
      <x:c r="E83" s="2"/>
      <x:c r="F83" s="2"/>
      <x:c r="G83" s="2"/>
      <x:c r="H83" s="2"/>
      <x:c r="I83" s="2"/>
      <x:c r="J83" s="2"/>
      <x:c r="K83" s="2"/>
      <x:c r="L83" s="2"/>
    </x:row>
    <x:row r="84" ht="24" customHeight="1">
      <x:c r="A84" s="2"/>
      <x:c r="B84" s="2"/>
      <x:c r="C84" s="2"/>
      <x:c r="D84" s="2"/>
      <x:c r="E84" s="2"/>
      <x:c r="F84" s="2"/>
      <x:c r="G84" s="2"/>
      <x:c r="H84" s="2"/>
      <x:c r="I84" s="2"/>
      <x:c r="J84" s="2"/>
      <x:c r="K84" s="2"/>
      <x:c r="L84" s="2"/>
    </x:row>
    <x:row r="85" ht="24" customHeight="1">
      <x:c r="A85" s="2"/>
      <x:c r="B85" s="2"/>
      <x:c r="C85" s="2"/>
      <x:c r="D85" s="2"/>
      <x:c r="E85" s="2"/>
      <x:c r="F85" s="2"/>
      <x:c r="G85" s="2"/>
      <x:c r="H85" s="2"/>
      <x:c r="I85" s="2"/>
      <x:c r="J85" s="2"/>
      <x:c r="K85" s="2"/>
      <x:c r="L85" s="2"/>
    </x:row>
    <x:row r="86" ht="24" customHeight="1">
      <x:c r="A86" s="2"/>
      <x:c r="B86" s="2"/>
      <x:c r="C86" s="2"/>
      <x:c r="D86" s="2"/>
      <x:c r="E86" s="2"/>
      <x:c r="F86" s="2"/>
      <x:c r="G86" s="2"/>
      <x:c r="H86" s="2"/>
      <x:c r="I86" s="2"/>
      <x:c r="J86" s="2"/>
      <x:c r="K86" s="2"/>
      <x:c r="L86" s="2"/>
    </x:row>
    <x:row r="87" ht="24" customHeight="1">
      <x:c r="A87" s="2"/>
      <x:c r="B87" s="2"/>
      <x:c r="C87" s="2"/>
      <x:c r="D87" s="2"/>
      <x:c r="E87" s="2"/>
      <x:c r="F87" s="2"/>
      <x:c r="G87" s="2"/>
      <x:c r="H87" s="2"/>
      <x:c r="I87" s="2"/>
      <x:c r="J87" s="2"/>
      <x:c r="K87" s="2"/>
      <x:c r="L87" s="2"/>
    </x:row>
    <x:row r="88" ht="24" customHeight="1">
      <x:c r="A88" s="2"/>
      <x:c r="B88" s="2"/>
      <x:c r="C88" s="2"/>
      <x:c r="D88" s="2"/>
      <x:c r="E88" s="2"/>
      <x:c r="F88" s="2"/>
      <x:c r="G88" s="2"/>
      <x:c r="H88" s="2"/>
      <x:c r="I88" s="2"/>
      <x:c r="J88" s="2"/>
      <x:c r="K88" s="2"/>
      <x:c r="L88" s="2"/>
    </x:row>
    <x:row r="89" ht="24" customHeight="1">
      <x:c r="A89" s="2"/>
      <x:c r="B89" s="2"/>
      <x:c r="C89" s="2"/>
      <x:c r="D89" s="2"/>
      <x:c r="E89" s="2"/>
      <x:c r="F89" s="2"/>
      <x:c r="G89" s="2"/>
      <x:c r="H89" s="2"/>
      <x:c r="I89" s="2"/>
      <x:c r="J89" s="2"/>
      <x:c r="K89" s="2"/>
      <x:c r="L89" s="2"/>
    </x:row>
    <x:row r="90" ht="24" customHeight="1">
      <x:c r="A90" s="2"/>
      <x:c r="B90" s="2"/>
      <x:c r="C90" s="2"/>
      <x:c r="D90" s="2"/>
      <x:c r="E90" s="2"/>
      <x:c r="F90" s="2"/>
      <x:c r="G90" s="2"/>
      <x:c r="H90" s="2"/>
      <x:c r="I90" s="2"/>
      <x:c r="J90" s="2"/>
      <x:c r="K90" s="2"/>
      <x:c r="L90" s="2"/>
    </x:row>
    <x:row r="91" ht="24" customHeight="1">
      <x:c r="A91" s="2"/>
      <x:c r="B91" s="2"/>
      <x:c r="C91" s="2"/>
      <x:c r="D91" s="2"/>
      <x:c r="E91" s="2"/>
      <x:c r="F91" s="2"/>
      <x:c r="G91" s="2"/>
      <x:c r="H91" s="2"/>
      <x:c r="I91" s="2"/>
      <x:c r="J91" s="2"/>
      <x:c r="K91" s="2"/>
      <x:c r="L91" s="2"/>
    </x:row>
    <x:row r="92" ht="24" customHeight="1">
      <x:c r="A92" s="2"/>
      <x:c r="B92" s="2"/>
      <x:c r="C92" s="2"/>
      <x:c r="D92" s="2"/>
      <x:c r="E92" s="2"/>
      <x:c r="F92" s="2"/>
      <x:c r="G92" s="2"/>
      <x:c r="H92" s="2"/>
      <x:c r="I92" s="2"/>
      <x:c r="J92" s="2"/>
      <x:c r="K92" s="2"/>
      <x:c r="L92" s="2"/>
    </x:row>
    <x:row r="93" ht="24" customHeight="1">
      <x:c r="A93" s="2"/>
      <x:c r="B93" s="2"/>
      <x:c r="C93" s="2"/>
      <x:c r="D93" s="2"/>
      <x:c r="E93" s="2"/>
      <x:c r="F93" s="2"/>
      <x:c r="G93" s="2"/>
      <x:c r="H93" s="2"/>
      <x:c r="I93" s="2"/>
      <x:c r="J93" s="2"/>
      <x:c r="K93" s="2"/>
      <x:c r="L93" s="2"/>
    </x:row>
    <x:row r="94" ht="24" customHeight="1">
      <x:c r="A94" s="2"/>
      <x:c r="B94" s="2"/>
      <x:c r="C94" s="2"/>
      <x:c r="D94" s="2"/>
      <x:c r="E94" s="2"/>
      <x:c r="F94" s="2"/>
      <x:c r="G94" s="2"/>
      <x:c r="H94" s="2"/>
      <x:c r="I94" s="2"/>
      <x:c r="J94" s="2"/>
      <x:c r="K94" s="2"/>
      <x:c r="L94" s="2"/>
    </x:row>
    <x:row r="95" ht="24" customHeight="1">
      <x:c r="A95" s="2"/>
      <x:c r="B95" s="2"/>
      <x:c r="C95" s="2"/>
      <x:c r="D95" s="2"/>
      <x:c r="E95" s="2"/>
      <x:c r="F95" s="2"/>
      <x:c r="G95" s="2"/>
      <x:c r="H95" s="2"/>
      <x:c r="I95" s="2"/>
      <x:c r="J95" s="2"/>
      <x:c r="K95" s="2"/>
      <x:c r="L95" s="2"/>
    </x:row>
    <x:row r="96" ht="24" customHeight="1">
      <x:c r="A96" s="2"/>
      <x:c r="B96" s="2"/>
      <x:c r="C96" s="2"/>
      <x:c r="D96" s="2"/>
      <x:c r="E96" s="2"/>
      <x:c r="F96" s="2"/>
      <x:c r="G96" s="2"/>
      <x:c r="H96" s="2"/>
      <x:c r="I96" s="2"/>
      <x:c r="J96" s="2"/>
      <x:c r="K96" s="2"/>
      <x:c r="L96" s="2"/>
    </x:row>
    <x:row r="97" ht="24" customHeight="1">
      <x:c r="A97" s="2"/>
      <x:c r="B97" s="2"/>
      <x:c r="C97" s="2"/>
      <x:c r="D97" s="2"/>
      <x:c r="E97" s="2"/>
      <x:c r="F97" s="2"/>
      <x:c r="G97" s="2"/>
      <x:c r="H97" s="2"/>
      <x:c r="I97" s="2"/>
      <x:c r="J97" s="2"/>
      <x:c r="K97" s="2"/>
      <x:c r="L97" s="2"/>
    </x:row>
    <x:row r="98" ht="24" customHeight="1">
      <x:c r="A98" s="2"/>
      <x:c r="B98" s="2"/>
      <x:c r="C98" s="2"/>
      <x:c r="D98" s="2"/>
      <x:c r="E98" s="2"/>
      <x:c r="F98" s="2"/>
      <x:c r="G98" s="2"/>
      <x:c r="H98" s="2"/>
      <x:c r="I98" s="2"/>
      <x:c r="J98" s="2"/>
      <x:c r="K98" s="2"/>
      <x:c r="L98" s="2"/>
    </x:row>
    <x:row r="99" ht="24" customHeight="1">
      <x:c r="A99" s="2"/>
      <x:c r="B99" s="2"/>
      <x:c r="C99" s="2"/>
      <x:c r="D99" s="2"/>
      <x:c r="E99" s="2"/>
      <x:c r="F99" s="2"/>
      <x:c r="G99" s="2"/>
      <x:c r="H99" s="2"/>
      <x:c r="I99" s="2"/>
      <x:c r="J99" s="2"/>
      <x:c r="K99" s="2"/>
      <x:c r="L99" s="2"/>
    </x:row>
    <x:row r="100" ht="24" customHeight="1">
      <x:c r="A100" s="2"/>
      <x:c r="B100" s="2"/>
      <x:c r="C100" s="2"/>
      <x:c r="D100" s="2"/>
      <x:c r="E100" s="2"/>
      <x:c r="F100" s="2"/>
      <x:c r="G100" s="2"/>
      <x:c r="H100" s="2"/>
      <x:c r="I100" s="2"/>
      <x:c r="J100" s="2"/>
      <x:c r="K100" s="2"/>
      <x:c r="L100" s="2"/>
    </x:row>
    <x:row r="101" ht="24" customHeight="1">
      <x:c r="A101" s="2"/>
      <x:c r="B101" s="2"/>
      <x:c r="C101" s="2"/>
      <x:c r="D101" s="2"/>
      <x:c r="E101" s="2"/>
      <x:c r="F101" s="2"/>
      <x:c r="G101" s="2"/>
      <x:c r="H101" s="2"/>
      <x:c r="I101" s="2"/>
      <x:c r="J101" s="2"/>
      <x:c r="K101" s="2"/>
      <x:c r="L101" s="2"/>
    </x:row>
    <x:row r="102" ht="24" customHeight="1">
      <x:c r="A102" s="2"/>
      <x:c r="B102" s="2"/>
      <x:c r="C102" s="2"/>
      <x:c r="D102" s="2"/>
      <x:c r="E102" s="2"/>
      <x:c r="F102" s="2"/>
      <x:c r="G102" s="2"/>
      <x:c r="H102" s="2"/>
      <x:c r="I102" s="2"/>
      <x:c r="J102" s="2"/>
      <x:c r="K102" s="2"/>
      <x:c r="L102" s="2"/>
    </x:row>
    <x:row r="103" ht="24" customHeight="1">
      <x:c r="A103" s="2"/>
      <x:c r="B103" s="2"/>
      <x:c r="C103" s="2"/>
      <x:c r="D103" s="2"/>
      <x:c r="E103" s="2"/>
      <x:c r="F103" s="2"/>
      <x:c r="G103" s="2"/>
      <x:c r="H103" s="2"/>
      <x:c r="I103" s="2"/>
      <x:c r="J103" s="2"/>
      <x:c r="K103" s="2"/>
      <x:c r="L103" s="2"/>
    </x:row>
    <x:row r="104" ht="24" customHeight="1">
      <x:c r="A104" s="2"/>
      <x:c r="B104" s="2"/>
      <x:c r="C104" s="2"/>
      <x:c r="D104" s="2"/>
      <x:c r="E104" s="2"/>
      <x:c r="F104" s="2"/>
      <x:c r="G104" s="2"/>
      <x:c r="H104" s="2"/>
      <x:c r="I104" s="2"/>
      <x:c r="J104" s="2"/>
      <x:c r="K104" s="2"/>
      <x:c r="L104" s="2"/>
    </x:row>
    <x:row r="105" ht="24" customHeight="1">
      <x:c r="A105" s="2"/>
      <x:c r="B105" s="2"/>
      <x:c r="C105" s="2"/>
      <x:c r="D105" s="2"/>
      <x:c r="E105" s="2"/>
      <x:c r="F105" s="2"/>
      <x:c r="G105" s="2"/>
      <x:c r="H105" s="2"/>
      <x:c r="I105" s="2"/>
      <x:c r="J105" s="2"/>
      <x:c r="K105" s="2"/>
      <x:c r="L105" s="2"/>
    </x:row>
    <x:row r="106" ht="24" customHeight="1">
      <x:c r="A106" s="2"/>
      <x:c r="B106" s="2"/>
      <x:c r="C106" s="2"/>
      <x:c r="D106" s="2"/>
      <x:c r="E106" s="2"/>
      <x:c r="F106" s="2"/>
      <x:c r="G106" s="2"/>
      <x:c r="H106" s="2"/>
      <x:c r="I106" s="2"/>
      <x:c r="J106" s="2"/>
      <x:c r="K106" s="2"/>
      <x:c r="L106" s="2"/>
    </x:row>
    <x:row r="107" ht="24" customHeight="1">
      <x:c r="A107" s="2"/>
      <x:c r="B107" s="2"/>
      <x:c r="C107" s="2"/>
      <x:c r="D107" s="2"/>
      <x:c r="E107" s="2"/>
      <x:c r="F107" s="2"/>
      <x:c r="G107" s="2"/>
      <x:c r="H107" s="2"/>
      <x:c r="I107" s="2"/>
      <x:c r="J107" s="2"/>
      <x:c r="K107" s="2"/>
      <x:c r="L107" s="2"/>
    </x:row>
    <x:row r="108" ht="24" customHeight="1">
      <x:c r="A108" s="2"/>
      <x:c r="B108" s="2"/>
      <x:c r="C108" s="2"/>
      <x:c r="D108" s="2"/>
      <x:c r="E108" s="2"/>
      <x:c r="F108" s="2"/>
      <x:c r="G108" s="2"/>
      <x:c r="H108" s="2"/>
      <x:c r="I108" s="2"/>
      <x:c r="J108" s="2"/>
      <x:c r="K108" s="2"/>
      <x:c r="L108" s="2"/>
    </x:row>
    <x:row r="109" ht="24" customHeight="1">
      <x:c r="A109" s="2"/>
      <x:c r="B109" s="2"/>
      <x:c r="C109" s="2"/>
      <x:c r="D109" s="2"/>
      <x:c r="E109" s="2"/>
      <x:c r="F109" s="2"/>
      <x:c r="G109" s="2"/>
      <x:c r="H109" s="2"/>
      <x:c r="I109" s="2"/>
      <x:c r="J109" s="2"/>
      <x:c r="K109" s="2"/>
      <x:c r="L109" s="2"/>
    </x:row>
    <x:row r="110" ht="24" customHeight="1">
      <x:c r="A110" s="2"/>
      <x:c r="B110" s="2"/>
      <x:c r="C110" s="2"/>
      <x:c r="D110" s="2"/>
      <x:c r="E110" s="2"/>
      <x:c r="F110" s="2"/>
      <x:c r="G110" s="2"/>
      <x:c r="H110" s="2"/>
      <x:c r="I110" s="2"/>
      <x:c r="J110" s="2"/>
      <x:c r="K110" s="2"/>
      <x:c r="L110" s="2"/>
    </x:row>
    <x:row r="111" ht="24" customHeight="1">
      <x:c r="A111" s="2"/>
      <x:c r="B111" s="2"/>
      <x:c r="C111" s="2"/>
      <x:c r="D111" s="2"/>
      <x:c r="E111" s="2"/>
      <x:c r="F111" s="2"/>
      <x:c r="G111" s="2"/>
      <x:c r="H111" s="2"/>
      <x:c r="I111" s="2"/>
      <x:c r="J111" s="2"/>
      <x:c r="K111" s="2"/>
      <x:c r="L111" s="2"/>
    </x:row>
    <x:row r="112" ht="24" customHeight="1">
      <x:c r="A112" s="2"/>
      <x:c r="B112" s="2"/>
      <x:c r="C112" s="2"/>
      <x:c r="D112" s="2"/>
      <x:c r="E112" s="2"/>
      <x:c r="F112" s="2"/>
      <x:c r="G112" s="2"/>
      <x:c r="H112" s="2"/>
      <x:c r="I112" s="2"/>
      <x:c r="J112" s="2"/>
      <x:c r="K112" s="2"/>
      <x:c r="L112" s="2"/>
    </x:row>
    <x:row r="113" ht="24" customHeight="1">
      <x:c r="A113" s="2"/>
      <x:c r="B113" s="2"/>
      <x:c r="C113" s="2"/>
      <x:c r="D113" s="2"/>
      <x:c r="E113" s="2"/>
      <x:c r="F113" s="2"/>
      <x:c r="G113" s="2"/>
      <x:c r="H113" s="2"/>
      <x:c r="I113" s="2"/>
      <x:c r="J113" s="2"/>
      <x:c r="K113" s="2"/>
      <x:c r="L113" s="2"/>
    </x:row>
    <x:row r="114" ht="24" customHeight="1">
      <x:c r="A114" s="2"/>
      <x:c r="B114" s="2"/>
      <x:c r="C114" s="2"/>
      <x:c r="D114" s="2"/>
      <x:c r="E114" s="2"/>
      <x:c r="F114" s="2"/>
      <x:c r="G114" s="2"/>
      <x:c r="H114" s="2"/>
      <x:c r="I114" s="2"/>
      <x:c r="J114" s="2"/>
      <x:c r="K114" s="2"/>
      <x:c r="L114" s="2"/>
    </x:row>
    <x:row r="115" ht="24" customHeight="1">
      <x:c r="A115" s="2"/>
      <x:c r="B115" s="2"/>
      <x:c r="C115" s="2"/>
      <x:c r="D115" s="2"/>
      <x:c r="E115" s="2"/>
      <x:c r="F115" s="2"/>
      <x:c r="G115" s="2"/>
      <x:c r="H115" s="2"/>
      <x:c r="I115" s="2"/>
      <x:c r="J115" s="2"/>
      <x:c r="K115" s="2"/>
      <x:c r="L115" s="2"/>
    </x:row>
    <x:row r="116" ht="24" customHeight="1">
      <x:c r="A116" s="2"/>
      <x:c r="B116" s="2"/>
      <x:c r="C116" s="2"/>
      <x:c r="D116" s="2"/>
      <x:c r="E116" s="2"/>
      <x:c r="F116" s="2"/>
      <x:c r="G116" s="2"/>
      <x:c r="H116" s="2"/>
      <x:c r="I116" s="2"/>
      <x:c r="J116" s="2"/>
      <x:c r="K116" s="2"/>
      <x:c r="L116" s="2"/>
    </x:row>
    <x:row r="117" ht="24" customHeight="1">
      <x:c r="A117" s="2"/>
      <x:c r="B117" s="2"/>
      <x:c r="C117" s="2"/>
      <x:c r="D117" s="2"/>
      <x:c r="E117" s="2"/>
      <x:c r="F117" s="2"/>
      <x:c r="G117" s="2"/>
      <x:c r="H117" s="2"/>
      <x:c r="I117" s="2"/>
      <x:c r="J117" s="2"/>
      <x:c r="K117" s="2"/>
      <x:c r="L117" s="2"/>
    </x:row>
    <x:row r="118" ht="24" customHeight="1">
      <x:c r="A118" s="2"/>
      <x:c r="B118" s="2"/>
      <x:c r="C118" s="2"/>
      <x:c r="D118" s="2"/>
      <x:c r="E118" s="2"/>
      <x:c r="F118" s="2"/>
      <x:c r="G118" s="2"/>
      <x:c r="H118" s="2"/>
      <x:c r="I118" s="2"/>
      <x:c r="J118" s="2"/>
      <x:c r="K118" s="2"/>
      <x:c r="L118" s="2"/>
    </x:row>
    <x:row r="119" ht="24" customHeight="1">
      <x:c r="A119" s="2"/>
      <x:c r="B119" s="2"/>
      <x:c r="C119" s="2"/>
      <x:c r="D119" s="2"/>
      <x:c r="E119" s="2"/>
      <x:c r="F119" s="2"/>
      <x:c r="G119" s="2"/>
      <x:c r="H119" s="2"/>
      <x:c r="I119" s="2"/>
      <x:c r="J119" s="2"/>
      <x:c r="K119" s="2"/>
      <x:c r="L119" s="2"/>
    </x:row>
    <x:row r="120" ht="24" customHeight="1">
      <x:c r="A120" s="2"/>
      <x:c r="B120" s="2"/>
      <x:c r="C120" s="2"/>
      <x:c r="D120" s="2"/>
      <x:c r="E120" s="2"/>
      <x:c r="F120" s="2"/>
      <x:c r="G120" s="2"/>
      <x:c r="H120" s="2"/>
      <x:c r="I120" s="2"/>
      <x:c r="J120" s="2"/>
      <x:c r="K120" s="2"/>
      <x:c r="L120" s="2"/>
    </x:row>
    <x:row r="121" ht="24" customHeight="1">
      <x:c r="A121" s="2"/>
      <x:c r="B121" s="2"/>
      <x:c r="C121" s="2"/>
      <x:c r="D121" s="2"/>
      <x:c r="E121" s="2"/>
      <x:c r="F121" s="2"/>
      <x:c r="G121" s="2"/>
      <x:c r="H121" s="2"/>
      <x:c r="I121" s="2"/>
      <x:c r="J121" s="2"/>
      <x:c r="K121" s="2"/>
      <x:c r="L121" s="2"/>
    </x:row>
    <x:row r="122" ht="24" customHeight="1">
      <x:c r="A122" s="2"/>
      <x:c r="B122" s="2"/>
      <x:c r="C122" s="2"/>
      <x:c r="D122" s="2"/>
      <x:c r="E122" s="2"/>
      <x:c r="F122" s="2"/>
      <x:c r="G122" s="2"/>
      <x:c r="H122" s="2"/>
      <x:c r="I122" s="2"/>
      <x:c r="J122" s="2"/>
      <x:c r="K122" s="2"/>
      <x:c r="L122" s="2"/>
    </x:row>
    <x:row r="123" ht="24" customHeight="1">
      <x:c r="A123" s="2"/>
      <x:c r="B123" s="2"/>
      <x:c r="C123" s="2"/>
      <x:c r="D123" s="2"/>
      <x:c r="E123" s="2"/>
      <x:c r="F123" s="2"/>
      <x:c r="G123" s="2"/>
      <x:c r="H123" s="2"/>
      <x:c r="I123" s="2"/>
      <x:c r="J123" s="2"/>
      <x:c r="K123" s="2"/>
      <x:c r="L123" s="2"/>
    </x:row>
    <x:row r="124" ht="24" customHeight="1">
      <x:c r="A124" s="2"/>
      <x:c r="B124" s="2"/>
      <x:c r="C124" s="2"/>
      <x:c r="D124" s="2"/>
      <x:c r="E124" s="2"/>
      <x:c r="F124" s="2"/>
      <x:c r="G124" s="2"/>
      <x:c r="H124" s="2"/>
      <x:c r="I124" s="2"/>
      <x:c r="J124" s="2"/>
      <x:c r="K124" s="2"/>
      <x:c r="L124" s="2"/>
    </x:row>
    <x:row r="125" ht="24" customHeight="1">
      <x:c r="A125" s="2"/>
      <x:c r="B125" s="2"/>
      <x:c r="C125" s="2"/>
      <x:c r="D125" s="2"/>
      <x:c r="E125" s="2"/>
      <x:c r="F125" s="2"/>
      <x:c r="G125" s="2"/>
      <x:c r="H125" s="2"/>
      <x:c r="I125" s="2"/>
      <x:c r="J125" s="2"/>
      <x:c r="K125" s="2"/>
      <x:c r="L125" s="2"/>
    </x:row>
    <x:row r="126" ht="24" customHeight="1">
      <x:c r="A126" s="2"/>
      <x:c r="B126" s="2"/>
      <x:c r="C126" s="2"/>
      <x:c r="D126" s="2"/>
      <x:c r="E126" s="2"/>
      <x:c r="F126" s="2"/>
      <x:c r="G126" s="2"/>
      <x:c r="H126" s="2"/>
      <x:c r="I126" s="2"/>
      <x:c r="J126" s="2"/>
      <x:c r="K126" s="2"/>
      <x:c r="L126" s="2"/>
    </x:row>
    <x:row r="127" ht="24" customHeight="1">
      <x:c r="A127" s="2"/>
      <x:c r="B127" s="2"/>
      <x:c r="C127" s="2"/>
      <x:c r="D127" s="2"/>
      <x:c r="E127" s="2"/>
      <x:c r="F127" s="2"/>
      <x:c r="G127" s="2"/>
      <x:c r="H127" s="2"/>
      <x:c r="I127" s="2"/>
      <x:c r="J127" s="2"/>
      <x:c r="K127" s="2"/>
      <x:c r="L127" s="2"/>
    </x:row>
    <x:row r="128" ht="24" customHeight="1">
      <x:c r="A128" s="2"/>
      <x:c r="B128" s="2"/>
      <x:c r="C128" s="2"/>
      <x:c r="D128" s="2"/>
      <x:c r="E128" s="2"/>
      <x:c r="F128" s="2"/>
      <x:c r="G128" s="2"/>
      <x:c r="H128" s="2"/>
      <x:c r="I128" s="2"/>
      <x:c r="J128" s="2"/>
      <x:c r="K128" s="2"/>
      <x:c r="L128" s="2"/>
    </x:row>
    <x:row r="129" ht="24" customHeight="1">
      <x:c r="A129" s="2"/>
      <x:c r="B129" s="2"/>
      <x:c r="C129" s="2"/>
      <x:c r="D129" s="2"/>
      <x:c r="E129" s="2"/>
      <x:c r="F129" s="2"/>
      <x:c r="G129" s="2"/>
      <x:c r="H129" s="2"/>
      <x:c r="I129" s="2"/>
      <x:c r="J129" s="2"/>
      <x:c r="K129" s="2"/>
      <x:c r="L129" s="2"/>
    </x:row>
    <x:row r="130" ht="24" customHeight="1">
      <x:c r="A130" s="2"/>
      <x:c r="B130" s="2"/>
      <x:c r="C130" s="2"/>
      <x:c r="D130" s="2"/>
      <x:c r="E130" s="2"/>
      <x:c r="F130" s="2"/>
      <x:c r="G130" s="2"/>
      <x:c r="H130" s="2"/>
      <x:c r="I130" s="2"/>
      <x:c r="J130" s="2"/>
      <x:c r="K130" s="2"/>
      <x:c r="L130" s="2"/>
    </x:row>
  </x:sheetData>
  <x:mergeCells>
    <x:mergeCell ref="A1:J1"/>
    <x:mergeCell ref="A2:J3"/>
  </x:mergeCells>
  <x:conditionalFormatting sqref="I6:I35">
    <x:cfRule type="containsText" dxfId="8" priority="1" operator="containsText" text="LỖI"/>
    <x:cfRule type="containsText" dxfId="9" priority="2" operator="containsText" text="KHỚP"/>
  </x:conditionalFormatting>
  <x:pageMargins left="0.7" right="0.7" top="0.75" bottom="0.75" header="0.3" footer="0.3"/>
  <x:tableParts count="2">
    <x:tablePart xmlns:r="http://schemas.openxmlformats.org/officeDocument/2006/relationships" r:id="R56393057c1964cd5"/>
    <x:tablePart xmlns:r="http://schemas.openxmlformats.org/officeDocument/2006/relationships" r:id="Ra3fc2c40e0254533"/>
  </x:tableParts>
</x:worksheet>
</file>

<file path=xl/worksheets/sheet8.xml><?xml version="1.0" encoding="utf-8"?>
<x:worksheet xmlns:x="http://schemas.openxmlformats.org/spreadsheetml/2006/main">
  <x:sheetViews>
    <x:sheetView showGridLines="0" workbookViewId="0"/>
  </x:sheetViews>
  <x:sheetFormatPr defaultRowHeight="15"/>
  <x:cols>
    <x:col min="1" max="1" width="23" hidden="0" customWidth="1"/>
    <x:col min="2" max="2" width="29" hidden="0" customWidth="1"/>
    <x:col min="3" max="3" width="20" hidden="0" customWidth="1"/>
    <x:col min="4" max="4" width="26" hidden="0" customWidth="1"/>
    <x:col min="5" max="5" width="20" hidden="0" customWidth="1"/>
    <x:col min="6" max="6" width="24" hidden="0" customWidth="1"/>
    <x:col min="7" max="7" width="51" hidden="0" customWidth="1"/>
    <x:col min="8" max="8" width="27" hidden="0" customWidth="1"/>
    <x:col min="9" max="9" width="19" hidden="0" customWidth="1"/>
    <x:col min="10" max="10" width="30" hidden="0" customWidth="1"/>
    <x:col min="11" max="11" width="58" hidden="0" customWidth="1"/>
    <x:col min="12" max="12" width="19" hidden="0" customWidth="1"/>
    <x:col min="13" max="13" width="19" hidden="0" customWidth="1"/>
    <x:col min="14" max="14" width="18" hidden="0" customWidth="1"/>
    <x:col min="15" max="15" width="18" hidden="0" customWidth="1"/>
    <x:col min="16" max="16" width="18" hidden="0" customWidth="1"/>
    <x:col min="17" max="17" width="21" hidden="0" customWidth="1"/>
  </x:cols>
  <x:sheetData>
    <x:row r="1" ht="38" customHeight="1">
      <x:c r="A1" s="4" t="str">
        <x:v>CHỨNG TỪ KHO GIẢ LẬP · 10 hồ sơ</x:v>
      </x:c>
      <x:c r="B1" s="4"/>
      <x:c r="C1" s="4"/>
      <x:c r="D1" s="4"/>
      <x:c r="E1" s="4"/>
      <x:c r="F1" s="4"/>
      <x:c r="G1" s="4"/>
      <x:c r="H1" s="4"/>
      <x:c r="I1" s="4"/>
      <x:c r="J1" s="4"/>
      <x:c r="K1" s="2"/>
      <x:c r="L1" s="2"/>
      <x:c r="M1" s="2"/>
      <x:c r="N1" s="2"/>
      <x:c r="O1" s="2"/>
      <x:c r="P1" s="2"/>
      <x:c r="Q1" s="2"/>
    </x:row>
    <x:row r="2" ht="24" customHeight="1">
      <x:c r="A2" s="6" t="str">
        <x:v>SYN = dữ liệu giả lập. Mỗi hồ sơ là một tình huống riêng. Hàng chưa giữ = tồn thực tế − hàng giữ cho đơn. Hàng sau dự phòng (ATP) = phần còn lại sau trừ dự phòng, không thấp hơn 0.</x:v>
      </x:c>
      <x:c r="B2" s="6"/>
      <x:c r="C2" s="6"/>
      <x:c r="D2" s="6"/>
      <x:c r="E2" s="6"/>
      <x:c r="F2" s="6"/>
      <x:c r="G2" s="6"/>
      <x:c r="H2" s="6"/>
      <x:c r="I2" s="6"/>
      <x:c r="J2" s="6"/>
      <x:c r="K2" s="2"/>
      <x:c r="L2" s="2"/>
      <x:c r="M2" s="2"/>
      <x:c r="N2" s="2"/>
      <x:c r="O2" s="2"/>
      <x:c r="P2" s="2"/>
      <x:c r="Q2" s="2"/>
    </x:row>
    <x:row r="3" ht="24" customHeight="1">
      <x:c r="A3" s="6"/>
      <x:c r="B3" s="6"/>
      <x:c r="C3" s="6"/>
      <x:c r="D3" s="6"/>
      <x:c r="E3" s="6"/>
      <x:c r="F3" s="6"/>
      <x:c r="G3" s="6"/>
      <x:c r="H3" s="6"/>
      <x:c r="I3" s="6"/>
      <x:c r="J3" s="6"/>
      <x:c r="K3" s="2"/>
      <x:c r="L3" s="2"/>
      <x:c r="M3" s="2"/>
      <x:c r="N3" s="2"/>
      <x:c r="O3" s="2"/>
      <x:c r="P3" s="2"/>
      <x:c r="Q3" s="2"/>
    </x:row>
    <x:row r="4" ht="12" customHeight="1">
      <x:c r="A4" s="2"/>
      <x:c r="B4" s="2"/>
      <x:c r="C4" s="2"/>
      <x:c r="D4" s="2"/>
      <x:c r="E4" s="2"/>
      <x:c r="F4" s="2"/>
      <x:c r="G4" s="2"/>
      <x:c r="H4" s="2"/>
      <x:c r="I4" s="2"/>
      <x:c r="J4" s="2"/>
      <x:c r="K4" s="2"/>
      <x:c r="L4" s="2"/>
      <x:c r="M4" s="2"/>
      <x:c r="N4" s="2"/>
      <x:c r="O4" s="2"/>
      <x:c r="P4" s="2"/>
      <x:c r="Q4" s="2"/>
    </x:row>
    <x:row r="5" ht="42" customHeight="1">
      <x:c r="A5" s="9" t="str">
        <x:v>Mã giả lập (SYN)</x:v>
      </x:c>
      <x:c r="B5" s="9" t="str">
        <x:v>Ngày giả định</x:v>
      </x:c>
      <x:c r="C5" s="9" t="str">
        <x:v>Loại chứng từ</x:v>
      </x:c>
      <x:c r="D5" s="9" t="str">
        <x:v>Mã hàng (SKU)</x:v>
      </x:c>
      <x:c r="E5" s="9" t="str">
        <x:v>Trạng thái</x:v>
      </x:c>
      <x:c r="F5" s="9" t="str">
        <x:v>Vai trò</x:v>
      </x:c>
      <x:c r="G5" s="9" t="str">
        <x:v>Lý do</x:v>
      </x:c>
      <x:c r="H5" s="9" t="str">
        <x:v>Mã tham chiếu</x:v>
      </x:c>
      <x:c r="I5" s="9" t="str">
        <x:v>Số lượng</x:v>
      </x:c>
      <x:c r="J5" s="9" t="str">
        <x:v>Yêu cầu liên quan</x:v>
      </x:c>
      <x:c r="K5" s="9" t="str">
        <x:v>Giải thích</x:v>
      </x:c>
      <x:c r="L5" s="2"/>
      <x:c r="M5" s="2"/>
      <x:c r="N5" s="2"/>
      <x:c r="O5" s="2"/>
      <x:c r="P5" s="2"/>
      <x:c r="Q5" s="2"/>
    </x:row>
    <x:row r="6" ht="92" customHeight="1">
      <x:c r="A6" s="11" t="str">
        <x:v>SYN-HS-KHO-01</x:v>
      </x:c>
      <x:c r="B6" s="11" t="str">
        <x:v>N4</x:v>
      </x:c>
      <x:c r="C6" s="11" t="str">
        <x:v>Nhập kho
(receipt)</x:v>
      </x:c>
      <x:c r="D6" s="11" t="str">
        <x:v>SYN-TEE-BLK-M</x:v>
      </x:c>
      <x:c r="E6" s="11" t="str">
        <x:v>Đã ghi nhận
(posted)</x:v>
      </x:c>
      <x:c r="F6" s="11" t="str">
        <x:v>Nhân viên
(staff)</x:v>
      </x:c>
      <x:c r="G6" s="11" t="str">
        <x:v>Nhập 30 chiếc từ lô nhà cung cấp giả định.</x:v>
      </x:c>
      <x:c r="H6" s="11" t="str">
        <x:v>SYN-NCC-001</x:v>
      </x:c>
      <x:c r="I6" s="11" t="n">
        <x:v>30</x:v>
      </x:c>
      <x:c r="J6" s="11" t="str">
        <x:v>P1-FR-12, P1-FR-14</x:v>
      </x:c>
      <x:c r="K6" s="11" t="str">
        <x:v>Số lượng nhập (quantity). Mỗi yêu cầu xử lý một mã hàng và ghi nhận ngay, chưa có bước lập nháp, phê duyệt. Tồn thực tế 20→50; số đã giữ cho đơn vẫn là 5.</x:v>
      </x:c>
      <x:c r="L6" s="2"/>
      <x:c r="M6" s="2"/>
      <x:c r="N6" s="2"/>
      <x:c r="O6" s="2"/>
      <x:c r="P6" s="2"/>
      <x:c r="Q6" s="2"/>
    </x:row>
    <x:row r="7" ht="92" customHeight="1">
      <x:c r="A7" s="12" t="str">
        <x:v>SYN-HS-KHO-02</x:v>
      </x:c>
      <x:c r="B7" s="12" t="str">
        <x:v>N4</x:v>
      </x:c>
      <x:c r="C7" s="12" t="str">
        <x:v>Nhập kho
(receipt)</x:v>
      </x:c>
      <x:c r="D7" s="12" t="str">
        <x:v>SYN-DRESS-BLU-S</x:v>
      </x:c>
      <x:c r="E7" s="12" t="str">
        <x:v>Đã ghi nhận
(posted)</x:v>
      </x:c>
      <x:c r="F7" s="12" t="str">
        <x:v>Nhân viên
(staff)</x:v>
      </x:c>
      <x:c r="G7" s="12" t="str">
        <x:v>Nhập bổ sung 12 chiếc cho kho HCM.</x:v>
      </x:c>
      <x:c r="H7" s="12" t="str">
        <x:v>SYN-NCC-002</x:v>
      </x:c>
      <x:c r="I7" s="12" t="n">
        <x:v>12</x:v>
      </x:c>
      <x:c r="J7" s="12" t="str">
        <x:v>P1-FR-12, P1-FR-14</x:v>
      </x:c>
      <x:c r="K7" s="12" t="str">
        <x:v>Số lượng nhập (quantity). Nhập thêm 12 chiếc và ghi nhật ký trong cùng lần xử lý. Gửi lại cùng mã chống lặp không được nhập thêm lần hai.</x:v>
      </x:c>
      <x:c r="L7" s="2"/>
      <x:c r="M7" s="2"/>
      <x:c r="N7" s="2"/>
      <x:c r="O7" s="2"/>
      <x:c r="P7" s="2"/>
      <x:c r="Q7" s="2"/>
    </x:row>
    <x:row r="8" ht="92" customHeight="1">
      <x:c r="A8" s="11" t="str">
        <x:v>SYN-HS-KHO-03</x:v>
      </x:c>
      <x:c r="B8" s="11" t="str">
        <x:v>N7</x:v>
      </x:c>
      <x:c r="C8" s="11" t="str">
        <x:v>Nhập kho
(receipt)</x:v>
      </x:c>
      <x:c r="D8" s="11" t="str">
        <x:v>SYN-TEE-BLK-M</x:v>
      </x:c>
      <x:c r="E8" s="11" t="str">
        <x:v>Đã ghi nhận
(posted)</x:v>
      </x:c>
      <x:c r="F8" s="11" t="str">
        <x:v>Nhân viên
(staff)</x:v>
      </x:c>
      <x:c r="G8" s="11" t="str">
        <x:v>Nhập lại một chiếc hoàn từ SYN-HS-DH-17 sau kiểm định giả định đạt.</x:v>
      </x:c>
      <x:c r="H8" s="11" t="str">
        <x:v>SYN-HS-DH-17-F1</x:v>
      </x:c>
      <x:c r="I8" s="11" t="n">
        <x:v>1</x:v>
      </x:c>
      <x:c r="J8" s="11" t="str">
        <x:v>P1-FR-14, P1-FR-19</x:v>
      </x:c>
      <x:c r="K8" s="11" t="str">
        <x:v>Số lượng nhập (quantity). Việc kiểm tra hàng là giả lập, làm ngoài hệ thống, không có chữ ký thật. Hàng trả về không tự cộng tồn; cần phiếu nhập riêng có mã tham chiếu đến kiện.</x:v>
      </x:c>
      <x:c r="L8" s="2"/>
      <x:c r="M8" s="2"/>
      <x:c r="N8" s="2"/>
      <x:c r="O8" s="2"/>
      <x:c r="P8" s="2"/>
      <x:c r="Q8" s="2"/>
    </x:row>
    <x:row r="9" ht="92" customHeight="1">
      <x:c r="A9" s="12" t="str">
        <x:v>SYN-HS-KHO-04</x:v>
      </x:c>
      <x:c r="B9" s="12" t="str">
        <x:v>N5</x:v>
      </x:c>
      <x:c r="C9" s="12" t="str">
        <x:v>Chuyển kho
(transfer)</x:v>
      </x:c>
      <x:c r="D9" s="12" t="str">
        <x:v>SYN-SHIRT-WHT-L</x:v>
      </x:c>
      <x:c r="E9" s="12" t="str">
        <x:v>Đã ghi nhận
(posted)</x:v>
      </x:c>
      <x:c r="F9" s="12" t="str">
        <x:v>Nhân viên
(staff)</x:v>
      </x:c>
      <x:c r="G9" s="12" t="str">
        <x:v>Điều chuyển 6 chiếc để cân bằng nhu cầu giả định giữa hai kho.</x:v>
      </x:c>
      <x:c r="H9" s="12" t="str">
        <x:v>SYN-DIEUCHUYEN-001</x:v>
      </x:c>
      <x:c r="I9" s="12" t="n">
        <x:v>6</x:v>
      </x:c>
      <x:c r="J9" s="12" t="str">
        <x:v>P1-FR-12, P1-FR-15</x:v>
      </x:c>
      <x:c r="K9" s="12" t="str">
        <x:v>Số lượng chuyển (quantity). Kho nguồn có 22 chiếc chưa giữ cho đơn, đủ chuyển 6. Hai dòng chuyển kho dùng chung mã tham chiếu; tổng tồn hai kho vẫn là 40.</x:v>
      </x:c>
      <x:c r="L9" s="2"/>
      <x:c r="M9" s="2"/>
      <x:c r="N9" s="2"/>
      <x:c r="O9" s="2"/>
      <x:c r="P9" s="2"/>
      <x:c r="Q9" s="2"/>
    </x:row>
    <x:row r="10" ht="92" customHeight="1">
      <x:c r="A10" s="11" t="str">
        <x:v>SYN-HS-KHO-05</x:v>
      </x:c>
      <x:c r="B10" s="11" t="str">
        <x:v>N5</x:v>
      </x:c>
      <x:c r="C10" s="11" t="str">
        <x:v>Chuyển kho
(transfer)</x:v>
      </x:c>
      <x:c r="D10" s="11" t="str">
        <x:v>SYN-PANTS-BEI-M</x:v>
      </x:c>
      <x:c r="E10" s="11" t="str">
        <x:v>Đã ghi nhận
(posted)</x:v>
      </x:c>
      <x:c r="F10" s="11" t="str">
        <x:v>Nhân viên
(staff)</x:v>
      </x:c>
      <x:c r="G10" s="11" t="str">
        <x:v>Chuyển 4 chiếc từ HCM về HN cho kế hoạch trưng bày giả định.</x:v>
      </x:c>
      <x:c r="H10" s="11" t="str">
        <x:v>SYN-DIEUCHUYEN-002</x:v>
      </x:c>
      <x:c r="I10" s="11" t="n">
        <x:v>4</x:v>
      </x:c>
      <x:c r="J10" s="11" t="str">
        <x:v>P1-FR-12, P1-FR-15</x:v>
      </x:c>
      <x:c r="K10" s="11" t="str">
        <x:v>Số lượng chuyển (quantity). Cộng kho đích và trừ kho nguồn phải cùng thành công; nếu một bước lỗi thì hủy cả hai. Tổng tồn thực tế vẫn là 24.</x:v>
      </x:c>
      <x:c r="L10" s="2"/>
      <x:c r="M10" s="2"/>
      <x:c r="N10" s="2"/>
      <x:c r="O10" s="2"/>
      <x:c r="P10" s="2"/>
      <x:c r="Q10" s="2"/>
    </x:row>
    <x:row r="11" ht="92" customHeight="1">
      <x:c r="A11" s="12" t="str">
        <x:v>SYN-HS-KHO-06</x:v>
      </x:c>
      <x:c r="B11" s="12" t="str">
        <x:v>N6</x:v>
      </x:c>
      <x:c r="C11" s="12" t="str">
        <x:v>Chuyển kho
(transfer)</x:v>
      </x:c>
      <x:c r="D11" s="12" t="str">
        <x:v>SYN-POLO-NAV-M</x:v>
      </x:c>
      <x:c r="E11" s="12" t="str">
        <x:v>Đã ghi nhận
(posted)</x:v>
      </x:c>
      <x:c r="F11" s="12" t="str">
        <x:v>Nhân viên
(staff)</x:v>
      </x:c>
      <x:c r="G11" s="12" t="str">
        <x:v>Chuyển 3 chiếc bằng đúng hàng chưa giữ cho đơn kho nguồn.</x:v>
      </x:c>
      <x:c r="H11" s="12" t="str">
        <x:v>SYN-DIEUCHUYEN-003</x:v>
      </x:c>
      <x:c r="I11" s="12" t="n">
        <x:v>3</x:v>
      </x:c>
      <x:c r="J11" s="12" t="str">
        <x:v>P1-FR-12, P1-FR-15</x:v>
      </x:c>
      <x:c r="K11" s="12" t="str">
        <x:v>Số lượng chuyển (quantity). Sau chuyển, tồn thực tế và hàng đã giữ đều là 7; hàng chưa giữ và hàng sau dự phòng đều bằng 0. Mức dự phòng hiện chưa tự chặn lệnh chuyển.</x:v>
      </x:c>
      <x:c r="L11" s="2"/>
      <x:c r="M11" s="2"/>
      <x:c r="N11" s="2"/>
      <x:c r="O11" s="2"/>
      <x:c r="P11" s="2"/>
      <x:c r="Q11" s="2"/>
    </x:row>
    <x:row r="12" ht="92" customHeight="1">
      <x:c r="A12" s="11" t="str">
        <x:v>SYN-HS-KHO-07</x:v>
      </x:c>
      <x:c r="B12" s="11" t="str">
        <x:v>N6</x:v>
      </x:c>
      <x:c r="C12" s="11" t="str">
        <x:v>Kiểm kê
(stocktake)</x:v>
      </x:c>
      <x:c r="D12" s="11" t="str">
        <x:v>SYN-TEE-BLK-M</x:v>
      </x:c>
      <x:c r="E12" s="11" t="str">
        <x:v>Đã ghi nhận
(posted)</x:v>
      </x:c>
      <x:c r="F12" s="11" t="str">
        <x:v>Nhân viên
(staff)</x:v>
      </x:c>
      <x:c r="G12" s="11" t="str">
        <x:v>Kiểm kê giả định đếm 48 so với sổ 50; chênh lệch thiếu 2.</x:v>
      </x:c>
      <x:c r="H12" s="11" t="str">
        <x:v>SYN-KIEMKE-001</x:v>
      </x:c>
      <x:c r="I12" s="11" t="n">
        <x:v>48</x:v>
      </x:c>
      <x:c r="J12" s="11" t="str">
        <x:v>P1-FR-12, P1-FR-16</x:v>
      </x:c>
      <x:c r="K12" s="11" t="str">
        <x:v>Số đếm giả định (actualQuantity). Số đếm giả định là 48, vẫn không thấp hơn 12 chiếc đã giữ cho đơn. Cột Số lượng ghi số đếm, không phải mức giảm; chênh lệch là -2.</x:v>
      </x:c>
      <x:c r="L12" s="2"/>
      <x:c r="M12" s="2"/>
      <x:c r="N12" s="2"/>
      <x:c r="O12" s="2"/>
      <x:c r="P12" s="2"/>
      <x:c r="Q12" s="2"/>
    </x:row>
    <x:row r="13" ht="92" customHeight="1">
      <x:c r="A13" s="12" t="str">
        <x:v>SYN-HS-KHO-08</x:v>
      </x:c>
      <x:c r="B13" s="12" t="str">
        <x:v>N6</x:v>
      </x:c>
      <x:c r="C13" s="12" t="str">
        <x:v>Kiểm kê
(stocktake)</x:v>
      </x:c>
      <x:c r="D13" s="12" t="str">
        <x:v>SYN-DRESS-BLU-S</x:v>
      </x:c>
      <x:c r="E13" s="12" t="str">
        <x:v>Đã ghi nhận
(posted)</x:v>
      </x:c>
      <x:c r="F13" s="12" t="str">
        <x:v>Nhân viên
(staff)</x:v>
      </x:c>
      <x:c r="G13" s="12" t="str">
        <x:v>Kiểm kê giả định đếm 22 so với sổ 20; phát hiện ghi nhận thiếu 2.</x:v>
      </x:c>
      <x:c r="H13" s="12" t="str">
        <x:v>SYN-KIEMKE-002</x:v>
      </x:c>
      <x:c r="I13" s="12" t="n">
        <x:v>22</x:v>
      </x:c>
      <x:c r="J13" s="12" t="str">
        <x:v>P1-FR-12, P1-FR-16</x:v>
      </x:c>
      <x:c r="K13" s="12" t="str">
        <x:v>Số đếm giả định (actualQuantity). Số đếm giả định là 22, chênh lệch +2. Bắt buộc có lý do; phía giao diện chưa gửi mã phiên bản (expectedVersion) cho chứng từ kho.</x:v>
      </x:c>
      <x:c r="L13" s="2"/>
      <x:c r="M13" s="2"/>
      <x:c r="N13" s="2"/>
      <x:c r="O13" s="2"/>
      <x:c r="P13" s="2"/>
      <x:c r="Q13" s="2"/>
    </x:row>
    <x:row r="14" ht="92" customHeight="1">
      <x:c r="A14" s="11" t="str">
        <x:v>SYN-HS-KHO-09</x:v>
      </x:c>
      <x:c r="B14" s="11" t="str">
        <x:v>N7</x:v>
      </x:c>
      <x:c r="C14" s="11" t="str">
        <x:v>Điều chỉnh tồn
(adjustment)</x:v>
      </x:c>
      <x:c r="D14" s="11" t="str">
        <x:v>SYN-JACKET-GRY-L</x:v>
      </x:c>
      <x:c r="E14" s="11" t="str">
        <x:v>Đã ghi nhận
(posted)</x:v>
      </x:c>
      <x:c r="F14" s="11" t="str">
        <x:v>Quản lý
(manager)</x:v>
      </x:c>
      <x:c r="G14" s="11" t="str">
        <x:v>Loại hai chiếc hỏng khỏi tồn bán được trong tình huống giả định.</x:v>
      </x:c>
      <x:c r="H14" s="11" t="str">
        <x:v>SYN-DIEUCHINH-001</x:v>
      </x:c>
      <x:c r="I14" s="11" t="n">
        <x:v>-2</x:v>
      </x:c>
      <x:c r="J14" s="11" t="str">
        <x:v>P1-FR-12, P1-FR-16</x:v>
      </x:c>
      <x:c r="K14" s="11" t="str">
        <x:v>Số tăng hoặc giảm (quantityDelta). Chỉ quản lý hoặc quản trị viên được điều chỉnh trực tiếp. Sau chỉnh còn 10 chiếc, không thấp hơn 3 chiếc đã giữ. Chưa có kho cách ly trong thiết kế dữ liệu.</x:v>
      </x:c>
      <x:c r="L14" s="2"/>
      <x:c r="M14" s="2"/>
      <x:c r="N14" s="2"/>
      <x:c r="O14" s="2"/>
      <x:c r="P14" s="2"/>
      <x:c r="Q14" s="2"/>
    </x:row>
    <x:row r="15" ht="92" customHeight="1">
      <x:c r="A15" s="12" t="str">
        <x:v>SYN-HS-KHO-10</x:v>
      </x:c>
      <x:c r="B15" s="12" t="str">
        <x:v>N7</x:v>
      </x:c>
      <x:c r="C15" s="12" t="str">
        <x:v>Điều chỉnh tồn
(adjustment)</x:v>
      </x:c>
      <x:c r="D15" s="12" t="str">
        <x:v>SYN-POLO-NAV-M</x:v>
      </x:c>
      <x:c r="E15" s="12" t="str">
        <x:v>Đã ghi nhận
(posted)</x:v>
      </x:c>
      <x:c r="F15" s="12" t="str">
        <x:v>Quản lý
(manager)</x:v>
      </x:c>
      <x:c r="G15" s="12" t="str">
        <x:v>Sửa chênh lệch nhập liệu được phát hiện trong đối chiếu giả định.</x:v>
      </x:c>
      <x:c r="H15" s="12" t="str">
        <x:v>SYN-DIEUCHINH-002</x:v>
      </x:c>
      <x:c r="I15" s="12" t="n">
        <x:v>1</x:v>
      </x:c>
      <x:c r="J15" s="12" t="str">
        <x:v>P1-FR-12, P1-FR-16</x:v>
      </x:c>
      <x:c r="K15" s="12" t="str">
        <x:v>Số tăng hoặc giảm (quantityDelta). Điều chỉnh +1 có lý do, mã chống lặp và nhật ký. Đây là hồ sơ được tạo giả lập, không phải người quản lý đã phê duyệt thật.</x:v>
      </x:c>
      <x:c r="L15" s="2"/>
      <x:c r="M15" s="2"/>
      <x:c r="N15" s="2"/>
      <x:c r="O15" s="2"/>
      <x:c r="P15" s="2"/>
      <x:c r="Q15" s="2"/>
    </x:row>
    <x:row r="16" ht="24" customHeight="1">
      <x:c r="A16" s="2"/>
      <x:c r="B16" s="2"/>
      <x:c r="C16" s="2"/>
      <x:c r="D16" s="2"/>
      <x:c r="E16" s="2"/>
      <x:c r="F16" s="2"/>
      <x:c r="G16" s="2"/>
      <x:c r="H16" s="2"/>
      <x:c r="I16" s="2"/>
      <x:c r="J16" s="2"/>
      <x:c r="K16" s="2"/>
      <x:c r="L16" s="2"/>
      <x:c r="M16" s="2"/>
      <x:c r="N16" s="2"/>
      <x:c r="O16" s="2"/>
      <x:c r="P16" s="2"/>
      <x:c r="Q16" s="2"/>
    </x:row>
    <x:row r="17" ht="24" customHeight="1">
      <x:c r="A17" s="2"/>
      <x:c r="B17" s="2"/>
      <x:c r="C17" s="2"/>
      <x:c r="D17" s="2"/>
      <x:c r="E17" s="2"/>
      <x:c r="F17" s="2"/>
      <x:c r="G17" s="2"/>
      <x:c r="H17" s="2"/>
      <x:c r="I17" s="2"/>
      <x:c r="J17" s="2"/>
      <x:c r="K17" s="2"/>
      <x:c r="L17" s="2"/>
      <x:c r="M17" s="2"/>
      <x:c r="N17" s="2"/>
      <x:c r="O17" s="2"/>
      <x:c r="P17" s="2"/>
      <x:c r="Q17" s="2"/>
    </x:row>
    <x:row r="18" ht="24" customHeight="1">
      <x:c r="A18" s="2"/>
      <x:c r="B18" s="2"/>
      <x:c r="C18" s="2"/>
      <x:c r="D18" s="2"/>
      <x:c r="E18" s="2"/>
      <x:c r="F18" s="2"/>
      <x:c r="G18" s="2"/>
      <x:c r="H18" s="2"/>
      <x:c r="I18" s="2"/>
      <x:c r="J18" s="2"/>
      <x:c r="K18" s="2"/>
      <x:c r="L18" s="2"/>
      <x:c r="M18" s="2"/>
      <x:c r="N18" s="2"/>
      <x:c r="O18" s="2"/>
      <x:c r="P18" s="2"/>
      <x:c r="Q18" s="2"/>
    </x:row>
    <x:row r="19" ht="42" customHeight="1">
      <x:c r="A19" s="9" t="str">
        <x:v>Mã chứng từ</x:v>
      </x:c>
      <x:c r="B19" s="9" t="str">
        <x:v>Mã dòng tăng, giảm</x:v>
      </x:c>
      <x:c r="C19" s="9" t="str">
        <x:v>Kho</x:v>
      </x:c>
      <x:c r="D19" s="9" t="str">
        <x:v>Loại tăng, giảm</x:v>
      </x:c>
      <x:c r="E19" s="9" t="str">
        <x:v>Tồn thực tế trước</x:v>
      </x:c>
      <x:c r="F19" s="9" t="str">
        <x:v>Tăng (+), giảm (−)</x:v>
      </x:c>
      <x:c r="G19" s="9" t="str">
        <x:v>Tồn sau: tính</x:v>
      </x:c>
      <x:c r="H19" s="9" t="str">
        <x:v>Tồn sau: nguồn</x:v>
      </x:c>
      <x:c r="I19" s="9" t="str">
        <x:v>Đối chiếu tồn</x:v>
      </x:c>
      <x:c r="J19" s="9" t="str">
        <x:v>Hàng giữ: trước</x:v>
      </x:c>
      <x:c r="K19" s="9" t="str">
        <x:v>Hàng giữ: sau</x:v>
      </x:c>
      <x:c r="L19" s="9" t="str">
        <x:v>Chưa giữ: tính</x:v>
      </x:c>
      <x:c r="M19" s="9" t="str">
        <x:v>Chưa giữ: nguồn</x:v>
      </x:c>
      <x:c r="N19" s="9" t="str">
        <x:v>Mức dự phòng</x:v>
      </x:c>
      <x:c r="O19" s="9" t="str">
        <x:v>Sau dự phòng:
tính</x:v>
      </x:c>
      <x:c r="P19" s="9" t="str">
        <x:v>Sau dự phòng:
nguồn</x:v>
      </x:c>
      <x:c r="Q19" s="9" t="str">
        <x:v>Đối chiếu hàng còn</x:v>
      </x:c>
    </x:row>
    <x:row r="20" ht="28" customHeight="1">
      <x:c r="A20" s="11" t="str">
        <x:v>SYN-HS-KHO-01</x:v>
      </x:c>
      <x:c r="B20" s="11" t="str">
        <x:v>SYN-HS-KHO-01-M1</x:v>
      </x:c>
      <x:c r="C20" s="11" t="str">
        <x:v>SYN-KHO-HN</x:v>
      </x:c>
      <x:c r="D20" s="11" t="str">
        <x:v>Nhập kho
(receipt)</x:v>
      </x:c>
      <x:c r="E20" s="26" t="n">
        <x:v>20</x:v>
      </x:c>
      <x:c r="F20" s="26" t="n">
        <x:v>30</x:v>
      </x:c>
      <x:c r="G20" s="28" t="n">
        <x:f>E20+F20</x:f>
        <x:v>50</x:v>
      </x:c>
      <x:c r="H20" s="26" t="n">
        <x:v>50</x:v>
      </x:c>
      <x:c r="I20" s="24" t="str">
        <x:f>IF(G20=H20,"KHỚP","LỖI TỒN")</x:f>
        <x:v>KHỚP</x:v>
      </x:c>
      <x:c r="J20" s="26" t="n">
        <x:v>5</x:v>
      </x:c>
      <x:c r="K20" s="26" t="n">
        <x:v>5</x:v>
      </x:c>
      <x:c r="L20" s="28" t="n">
        <x:f>H20-K20</x:f>
        <x:v>45</x:v>
      </x:c>
      <x:c r="M20" s="26" t="n">
        <x:v>45</x:v>
      </x:c>
      <x:c r="N20" s="26" t="n">
        <x:v>3</x:v>
      </x:c>
      <x:c r="O20" s="28" t="n">
        <x:f>MAX(L20-N20,0)</x:f>
        <x:v>42</x:v>
      </x:c>
      <x:c r="P20" s="26" t="n">
        <x:v>42</x:v>
      </x:c>
      <x:c r="Q20" s="24" t="str">
        <x:f>IF(AND(L20=M20,O20=P20),"KHỚP","LỖI ATP")</x:f>
        <x:v>KHỚP</x:v>
      </x:c>
    </x:row>
    <x:row r="21" ht="28" customHeight="1">
      <x:c r="A21" s="12" t="str">
        <x:v>SYN-HS-KHO-02</x:v>
      </x:c>
      <x:c r="B21" s="12" t="str">
        <x:v>SYN-HS-KHO-02-M1</x:v>
      </x:c>
      <x:c r="C21" s="12" t="str">
        <x:v>SYN-KHO-HCM</x:v>
      </x:c>
      <x:c r="D21" s="12" t="str">
        <x:v>Nhập kho
(receipt)</x:v>
      </x:c>
      <x:c r="E21" s="27" t="n">
        <x:v>8</x:v>
      </x:c>
      <x:c r="F21" s="27" t="n">
        <x:v>12</x:v>
      </x:c>
      <x:c r="G21" s="29" t="n">
        <x:f>E21+F21</x:f>
        <x:v>20</x:v>
      </x:c>
      <x:c r="H21" s="27" t="n">
        <x:v>20</x:v>
      </x:c>
      <x:c r="I21" s="25" t="str">
        <x:f>IF(G21=H21,"KHỚP","LỖI TỒN")</x:f>
        <x:v>KHỚP</x:v>
      </x:c>
      <x:c r="J21" s="27" t="n">
        <x:v>3</x:v>
      </x:c>
      <x:c r="K21" s="27" t="n">
        <x:v>3</x:v>
      </x:c>
      <x:c r="L21" s="29" t="n">
        <x:f>H21-K21</x:f>
        <x:v>17</x:v>
      </x:c>
      <x:c r="M21" s="27" t="n">
        <x:v>17</x:v>
      </x:c>
      <x:c r="N21" s="27" t="n">
        <x:v>2</x:v>
      </x:c>
      <x:c r="O21" s="29" t="n">
        <x:f>MAX(L21-N21,0)</x:f>
        <x:v>15</x:v>
      </x:c>
      <x:c r="P21" s="27" t="n">
        <x:v>15</x:v>
      </x:c>
      <x:c r="Q21" s="25" t="str">
        <x:f>IF(AND(L21=M21,O21=P21),"KHỚP","LỖI ATP")</x:f>
        <x:v>KHỚP</x:v>
      </x:c>
    </x:row>
    <x:row r="22" ht="28" customHeight="1">
      <x:c r="A22" s="11" t="str">
        <x:v>SYN-HS-KHO-03</x:v>
      </x:c>
      <x:c r="B22" s="11" t="str">
        <x:v>SYN-HS-KHO-03-M1</x:v>
      </x:c>
      <x:c r="C22" s="11" t="str">
        <x:v>SYN-KHO-HN</x:v>
      </x:c>
      <x:c r="D22" s="11" t="str">
        <x:v>Nhập kho
(receipt)</x:v>
      </x:c>
      <x:c r="E22" s="26" t="n">
        <x:v>8</x:v>
      </x:c>
      <x:c r="F22" s="26" t="n">
        <x:v>1</x:v>
      </x:c>
      <x:c r="G22" s="28" t="n">
        <x:f>E22+F22</x:f>
        <x:v>9</x:v>
      </x:c>
      <x:c r="H22" s="26" t="n">
        <x:v>9</x:v>
      </x:c>
      <x:c r="I22" s="24" t="str">
        <x:f>IF(G22=H22,"KHỚP","LỖI TỒN")</x:f>
        <x:v>KHỚP</x:v>
      </x:c>
      <x:c r="J22" s="26" t="n">
        <x:v>2</x:v>
      </x:c>
      <x:c r="K22" s="26" t="n">
        <x:v>2</x:v>
      </x:c>
      <x:c r="L22" s="28" t="n">
        <x:f>H22-K22</x:f>
        <x:v>7</x:v>
      </x:c>
      <x:c r="M22" s="26" t="n">
        <x:v>7</x:v>
      </x:c>
      <x:c r="N22" s="26" t="n">
        <x:v>1</x:v>
      </x:c>
      <x:c r="O22" s="28" t="n">
        <x:f>MAX(L22-N22,0)</x:f>
        <x:v>6</x:v>
      </x:c>
      <x:c r="P22" s="26" t="n">
        <x:v>6</x:v>
      </x:c>
      <x:c r="Q22" s="24" t="str">
        <x:f>IF(AND(L22=M22,O22=P22),"KHỚP","LỖI ATP")</x:f>
        <x:v>KHỚP</x:v>
      </x:c>
    </x:row>
    <x:row r="23" ht="28" customHeight="1">
      <x:c r="A23" s="12" t="str">
        <x:v>SYN-HS-KHO-04</x:v>
      </x:c>
      <x:c r="B23" s="12" t="str">
        <x:v>SYN-HS-KHO-04-M1</x:v>
      </x:c>
      <x:c r="C23" s="12" t="str">
        <x:v>SYN-KHO-HN</x:v>
      </x:c>
      <x:c r="D23" s="12" t="str">
        <x:v>Xuất chuyển kho
(transfer_out)</x:v>
      </x:c>
      <x:c r="E23" s="27" t="n">
        <x:v>30</x:v>
      </x:c>
      <x:c r="F23" s="27" t="n">
        <x:v>-6</x:v>
      </x:c>
      <x:c r="G23" s="29" t="n">
        <x:f>E23+F23</x:f>
        <x:v>24</x:v>
      </x:c>
      <x:c r="H23" s="27" t="n">
        <x:v>24</x:v>
      </x:c>
      <x:c r="I23" s="25" t="str">
        <x:f>IF(G23=H23,"KHỚP","LỖI TỒN")</x:f>
        <x:v>KHỚP</x:v>
      </x:c>
      <x:c r="J23" s="27" t="n">
        <x:v>8</x:v>
      </x:c>
      <x:c r="K23" s="27" t="n">
        <x:v>8</x:v>
      </x:c>
      <x:c r="L23" s="29" t="n">
        <x:f>H23-K23</x:f>
        <x:v>16</x:v>
      </x:c>
      <x:c r="M23" s="27" t="n">
        <x:v>16</x:v>
      </x:c>
      <x:c r="N23" s="27" t="n">
        <x:v>4</x:v>
      </x:c>
      <x:c r="O23" s="29" t="n">
        <x:f>MAX(L23-N23,0)</x:f>
        <x:v>12</x:v>
      </x:c>
      <x:c r="P23" s="27" t="n">
        <x:v>12</x:v>
      </x:c>
      <x:c r="Q23" s="25" t="str">
        <x:f>IF(AND(L23=M23,O23=P23),"KHỚP","LỖI ATP")</x:f>
        <x:v>KHỚP</x:v>
      </x:c>
    </x:row>
    <x:row r="24" ht="28" customHeight="1">
      <x:c r="A24" s="11" t="str">
        <x:v>SYN-HS-KHO-04</x:v>
      </x:c>
      <x:c r="B24" s="11" t="str">
        <x:v>SYN-HS-KHO-04-M2</x:v>
      </x:c>
      <x:c r="C24" s="11" t="str">
        <x:v>SYN-KHO-HCM</x:v>
      </x:c>
      <x:c r="D24" s="11" t="str">
        <x:v>Nhập chuyển kho
(transfer_in)</x:v>
      </x:c>
      <x:c r="E24" s="26" t="n">
        <x:v>10</x:v>
      </x:c>
      <x:c r="F24" s="26" t="n">
        <x:v>6</x:v>
      </x:c>
      <x:c r="G24" s="28" t="n">
        <x:f>E24+F24</x:f>
        <x:v>16</x:v>
      </x:c>
      <x:c r="H24" s="26" t="n">
        <x:v>16</x:v>
      </x:c>
      <x:c r="I24" s="24" t="str">
        <x:f>IF(G24=H24,"KHỚP","LỖI TỒN")</x:f>
        <x:v>KHỚP</x:v>
      </x:c>
      <x:c r="J24" s="26" t="n">
        <x:v>2</x:v>
      </x:c>
      <x:c r="K24" s="26" t="n">
        <x:v>2</x:v>
      </x:c>
      <x:c r="L24" s="28" t="n">
        <x:f>H24-K24</x:f>
        <x:v>14</x:v>
      </x:c>
      <x:c r="M24" s="26" t="n">
        <x:v>14</x:v>
      </x:c>
      <x:c r="N24" s="26" t="n">
        <x:v>2</x:v>
      </x:c>
      <x:c r="O24" s="28" t="n">
        <x:f>MAX(L24-N24,0)</x:f>
        <x:v>12</x:v>
      </x:c>
      <x:c r="P24" s="26" t="n">
        <x:v>12</x:v>
      </x:c>
      <x:c r="Q24" s="24" t="str">
        <x:f>IF(AND(L24=M24,O24=P24),"KHỚP","LỖI ATP")</x:f>
        <x:v>KHỚP</x:v>
      </x:c>
    </x:row>
    <x:row r="25" ht="28" customHeight="1">
      <x:c r="A25" s="12" t="str">
        <x:v>SYN-HS-KHO-05</x:v>
      </x:c>
      <x:c r="B25" s="12" t="str">
        <x:v>SYN-HS-KHO-05-M1</x:v>
      </x:c>
      <x:c r="C25" s="12" t="str">
        <x:v>SYN-KHO-HCM</x:v>
      </x:c>
      <x:c r="D25" s="12" t="str">
        <x:v>Xuất chuyển kho
(transfer_out)</x:v>
      </x:c>
      <x:c r="E25" s="27" t="n">
        <x:v>18</x:v>
      </x:c>
      <x:c r="F25" s="27" t="n">
        <x:v>-4</x:v>
      </x:c>
      <x:c r="G25" s="29" t="n">
        <x:f>E25+F25</x:f>
        <x:v>14</x:v>
      </x:c>
      <x:c r="H25" s="27" t="n">
        <x:v>14</x:v>
      </x:c>
      <x:c r="I25" s="25" t="str">
        <x:f>IF(G25=H25,"KHỚP","LỖI TỒN")</x:f>
        <x:v>KHỚP</x:v>
      </x:c>
      <x:c r="J25" s="27" t="n">
        <x:v>7</x:v>
      </x:c>
      <x:c r="K25" s="27" t="n">
        <x:v>7</x:v>
      </x:c>
      <x:c r="L25" s="29" t="n">
        <x:f>H25-K25</x:f>
        <x:v>7</x:v>
      </x:c>
      <x:c r="M25" s="27" t="n">
        <x:v>7</x:v>
      </x:c>
      <x:c r="N25" s="27" t="n">
        <x:v>3</x:v>
      </x:c>
      <x:c r="O25" s="29" t="n">
        <x:f>MAX(L25-N25,0)</x:f>
        <x:v>4</x:v>
      </x:c>
      <x:c r="P25" s="27" t="n">
        <x:v>4</x:v>
      </x:c>
      <x:c r="Q25" s="25" t="str">
        <x:f>IF(AND(L25=M25,O25=P25),"KHỚP","LỖI ATP")</x:f>
        <x:v>KHỚP</x:v>
      </x:c>
    </x:row>
    <x:row r="26" ht="28" customHeight="1">
      <x:c r="A26" s="11" t="str">
        <x:v>SYN-HS-KHO-05</x:v>
      </x:c>
      <x:c r="B26" s="11" t="str">
        <x:v>SYN-HS-KHO-05-M2</x:v>
      </x:c>
      <x:c r="C26" s="11" t="str">
        <x:v>SYN-KHO-HN</x:v>
      </x:c>
      <x:c r="D26" s="11" t="str">
        <x:v>Nhập chuyển kho
(transfer_in)</x:v>
      </x:c>
      <x:c r="E26" s="26" t="n">
        <x:v>6</x:v>
      </x:c>
      <x:c r="F26" s="26" t="n">
        <x:v>4</x:v>
      </x:c>
      <x:c r="G26" s="28" t="n">
        <x:f>E26+F26</x:f>
        <x:v>10</x:v>
      </x:c>
      <x:c r="H26" s="26" t="n">
        <x:v>10</x:v>
      </x:c>
      <x:c r="I26" s="24" t="str">
        <x:f>IF(G26=H26,"KHỚP","LỖI TỒN")</x:f>
        <x:v>KHỚP</x:v>
      </x:c>
      <x:c r="J26" s="26" t="n">
        <x:v>1</x:v>
      </x:c>
      <x:c r="K26" s="26" t="n">
        <x:v>1</x:v>
      </x:c>
      <x:c r="L26" s="28" t="n">
        <x:f>H26-K26</x:f>
        <x:v>9</x:v>
      </x:c>
      <x:c r="M26" s="26" t="n">
        <x:v>9</x:v>
      </x:c>
      <x:c r="N26" s="26" t="n">
        <x:v>1</x:v>
      </x:c>
      <x:c r="O26" s="28" t="n">
        <x:f>MAX(L26-N26,0)</x:f>
        <x:v>8</x:v>
      </x:c>
      <x:c r="P26" s="26" t="n">
        <x:v>8</x:v>
      </x:c>
      <x:c r="Q26" s="24" t="str">
        <x:f>IF(AND(L26=M26,O26=P26),"KHỚP","LỖI ATP")</x:f>
        <x:v>KHỚP</x:v>
      </x:c>
    </x:row>
    <x:row r="27" ht="28" customHeight="1">
      <x:c r="A27" s="12" t="str">
        <x:v>SYN-HS-KHO-06</x:v>
      </x:c>
      <x:c r="B27" s="12" t="str">
        <x:v>SYN-HS-KHO-06-M1</x:v>
      </x:c>
      <x:c r="C27" s="12" t="str">
        <x:v>SYN-KHO-HN</x:v>
      </x:c>
      <x:c r="D27" s="12" t="str">
        <x:v>Xuất chuyển kho
(transfer_out)</x:v>
      </x:c>
      <x:c r="E27" s="27" t="n">
        <x:v>10</x:v>
      </x:c>
      <x:c r="F27" s="27" t="n">
        <x:v>-3</x:v>
      </x:c>
      <x:c r="G27" s="29" t="n">
        <x:f>E27+F27</x:f>
        <x:v>7</x:v>
      </x:c>
      <x:c r="H27" s="27" t="n">
        <x:v>7</x:v>
      </x:c>
      <x:c r="I27" s="25" t="str">
        <x:f>IF(G27=H27,"KHỚP","LỖI TỒN")</x:f>
        <x:v>KHỚP</x:v>
      </x:c>
      <x:c r="J27" s="27" t="n">
        <x:v>7</x:v>
      </x:c>
      <x:c r="K27" s="27" t="n">
        <x:v>7</x:v>
      </x:c>
      <x:c r="L27" s="29" t="n">
        <x:f>H27-K27</x:f>
        <x:v>0</x:v>
      </x:c>
      <x:c r="M27" s="27" t="n">
        <x:v>0</x:v>
      </x:c>
      <x:c r="N27" s="27" t="n">
        <x:v>2</x:v>
      </x:c>
      <x:c r="O27" s="29" t="n">
        <x:f>MAX(L27-N27,0)</x:f>
        <x:v>0</x:v>
      </x:c>
      <x:c r="P27" s="27" t="n">
        <x:v>0</x:v>
      </x:c>
      <x:c r="Q27" s="25" t="str">
        <x:f>IF(AND(L27=M27,O27=P27),"KHỚP","LỖI ATP")</x:f>
        <x:v>KHỚP</x:v>
      </x:c>
    </x:row>
    <x:row r="28" ht="28" customHeight="1">
      <x:c r="A28" s="11" t="str">
        <x:v>SYN-HS-KHO-06</x:v>
      </x:c>
      <x:c r="B28" s="11" t="str">
        <x:v>SYN-HS-KHO-06-M2</x:v>
      </x:c>
      <x:c r="C28" s="11" t="str">
        <x:v>SYN-KHO-HCM</x:v>
      </x:c>
      <x:c r="D28" s="11" t="str">
        <x:v>Nhập chuyển kho
(transfer_in)</x:v>
      </x:c>
      <x:c r="E28" s="26" t="n">
        <x:v>4</x:v>
      </x:c>
      <x:c r="F28" s="26" t="n">
        <x:v>3</x:v>
      </x:c>
      <x:c r="G28" s="28" t="n">
        <x:f>E28+F28</x:f>
        <x:v>7</x:v>
      </x:c>
      <x:c r="H28" s="26" t="n">
        <x:v>7</x:v>
      </x:c>
      <x:c r="I28" s="24" t="str">
        <x:f>IF(G28=H28,"KHỚP","LỖI TỒN")</x:f>
        <x:v>KHỚP</x:v>
      </x:c>
      <x:c r="J28" s="26" t="n">
        <x:v>0</x:v>
      </x:c>
      <x:c r="K28" s="26" t="n">
        <x:v>0</x:v>
      </x:c>
      <x:c r="L28" s="28" t="n">
        <x:f>H28-K28</x:f>
        <x:v>7</x:v>
      </x:c>
      <x:c r="M28" s="26" t="n">
        <x:v>7</x:v>
      </x:c>
      <x:c r="N28" s="26" t="n">
        <x:v>1</x:v>
      </x:c>
      <x:c r="O28" s="28" t="n">
        <x:f>MAX(L28-N28,0)</x:f>
        <x:v>6</x:v>
      </x:c>
      <x:c r="P28" s="26" t="n">
        <x:v>6</x:v>
      </x:c>
      <x:c r="Q28" s="24" t="str">
        <x:f>IF(AND(L28=M28,O28=P28),"KHỚP","LỖI ATP")</x:f>
        <x:v>KHỚP</x:v>
      </x:c>
    </x:row>
    <x:row r="29" ht="28" customHeight="1">
      <x:c r="A29" s="12" t="str">
        <x:v>SYN-HS-KHO-07</x:v>
      </x:c>
      <x:c r="B29" s="12" t="str">
        <x:v>SYN-HS-KHO-07-M1</x:v>
      </x:c>
      <x:c r="C29" s="12" t="str">
        <x:v>SYN-KHO-HN</x:v>
      </x:c>
      <x:c r="D29" s="12" t="str">
        <x:v>Kiểm kê
(stocktake)</x:v>
      </x:c>
      <x:c r="E29" s="27" t="n">
        <x:v>50</x:v>
      </x:c>
      <x:c r="F29" s="27" t="n">
        <x:v>-2</x:v>
      </x:c>
      <x:c r="G29" s="29" t="n">
        <x:f>E29+F29</x:f>
        <x:v>48</x:v>
      </x:c>
      <x:c r="H29" s="27" t="n">
        <x:v>48</x:v>
      </x:c>
      <x:c r="I29" s="25" t="str">
        <x:f>IF(G29=H29,"KHỚP","LỖI TỒN")</x:f>
        <x:v>KHỚP</x:v>
      </x:c>
      <x:c r="J29" s="27" t="n">
        <x:v>12</x:v>
      </x:c>
      <x:c r="K29" s="27" t="n">
        <x:v>12</x:v>
      </x:c>
      <x:c r="L29" s="29" t="n">
        <x:f>H29-K29</x:f>
        <x:v>36</x:v>
      </x:c>
      <x:c r="M29" s="27" t="n">
        <x:v>36</x:v>
      </x:c>
      <x:c r="N29" s="27" t="n">
        <x:v>4</x:v>
      </x:c>
      <x:c r="O29" s="29" t="n">
        <x:f>MAX(L29-N29,0)</x:f>
        <x:v>32</x:v>
      </x:c>
      <x:c r="P29" s="27" t="n">
        <x:v>32</x:v>
      </x:c>
      <x:c r="Q29" s="25" t="str">
        <x:f>IF(AND(L29=M29,O29=P29),"KHỚP","LỖI ATP")</x:f>
        <x:v>KHỚP</x:v>
      </x:c>
    </x:row>
    <x:row r="30" ht="28" customHeight="1">
      <x:c r="A30" s="11" t="str">
        <x:v>SYN-HS-KHO-08</x:v>
      </x:c>
      <x:c r="B30" s="11" t="str">
        <x:v>SYN-HS-KHO-08-M1</x:v>
      </x:c>
      <x:c r="C30" s="11" t="str">
        <x:v>SYN-KHO-HCM</x:v>
      </x:c>
      <x:c r="D30" s="11" t="str">
        <x:v>Kiểm kê
(stocktake)</x:v>
      </x:c>
      <x:c r="E30" s="26" t="n">
        <x:v>20</x:v>
      </x:c>
      <x:c r="F30" s="26" t="n">
        <x:v>2</x:v>
      </x:c>
      <x:c r="G30" s="28" t="n">
        <x:f>E30+F30</x:f>
        <x:v>22</x:v>
      </x:c>
      <x:c r="H30" s="26" t="n">
        <x:v>22</x:v>
      </x:c>
      <x:c r="I30" s="24" t="str">
        <x:f>IF(G30=H30,"KHỚP","LỖI TỒN")</x:f>
        <x:v>KHỚP</x:v>
      </x:c>
      <x:c r="J30" s="26" t="n">
        <x:v>6</x:v>
      </x:c>
      <x:c r="K30" s="26" t="n">
        <x:v>6</x:v>
      </x:c>
      <x:c r="L30" s="28" t="n">
        <x:f>H30-K30</x:f>
        <x:v>16</x:v>
      </x:c>
      <x:c r="M30" s="26" t="n">
        <x:v>16</x:v>
      </x:c>
      <x:c r="N30" s="26" t="n">
        <x:v>2</x:v>
      </x:c>
      <x:c r="O30" s="28" t="n">
        <x:f>MAX(L30-N30,0)</x:f>
        <x:v>14</x:v>
      </x:c>
      <x:c r="P30" s="26" t="n">
        <x:v>14</x:v>
      </x:c>
      <x:c r="Q30" s="24" t="str">
        <x:f>IF(AND(L30=M30,O30=P30),"KHỚP","LỖI ATP")</x:f>
        <x:v>KHỚP</x:v>
      </x:c>
    </x:row>
    <x:row r="31" ht="28" customHeight="1">
      <x:c r="A31" s="12" t="str">
        <x:v>SYN-HS-KHO-09</x:v>
      </x:c>
      <x:c r="B31" s="12" t="str">
        <x:v>SYN-HS-KHO-09-M1</x:v>
      </x:c>
      <x:c r="C31" s="12" t="str">
        <x:v>SYN-KHO-HCM</x:v>
      </x:c>
      <x:c r="D31" s="12" t="str">
        <x:v>Điều chỉnh trực tiếp
(manual_adjustment)</x:v>
      </x:c>
      <x:c r="E31" s="27" t="n">
        <x:v>12</x:v>
      </x:c>
      <x:c r="F31" s="27" t="n">
        <x:v>-2</x:v>
      </x:c>
      <x:c r="G31" s="29" t="n">
        <x:f>E31+F31</x:f>
        <x:v>10</x:v>
      </x:c>
      <x:c r="H31" s="27" t="n">
        <x:v>10</x:v>
      </x:c>
      <x:c r="I31" s="25" t="str">
        <x:f>IF(G31=H31,"KHỚP","LỖI TỒN")</x:f>
        <x:v>KHỚP</x:v>
      </x:c>
      <x:c r="J31" s="27" t="n">
        <x:v>3</x:v>
      </x:c>
      <x:c r="K31" s="27" t="n">
        <x:v>3</x:v>
      </x:c>
      <x:c r="L31" s="29" t="n">
        <x:f>H31-K31</x:f>
        <x:v>7</x:v>
      </x:c>
      <x:c r="M31" s="27" t="n">
        <x:v>7</x:v>
      </x:c>
      <x:c r="N31" s="27" t="n">
        <x:v>2</x:v>
      </x:c>
      <x:c r="O31" s="29" t="n">
        <x:f>MAX(L31-N31,0)</x:f>
        <x:v>5</x:v>
      </x:c>
      <x:c r="P31" s="27" t="n">
        <x:v>5</x:v>
      </x:c>
      <x:c r="Q31" s="25" t="str">
        <x:f>IF(AND(L31=M31,O31=P31),"KHỚP","LỖI ATP")</x:f>
        <x:v>KHỚP</x:v>
      </x:c>
    </x:row>
    <x:row r="32" ht="28" customHeight="1">
      <x:c r="A32" s="11" t="str">
        <x:v>SYN-HS-KHO-10</x:v>
      </x:c>
      <x:c r="B32" s="11" t="str">
        <x:v>SYN-HS-KHO-10-M1</x:v>
      </x:c>
      <x:c r="C32" s="11" t="str">
        <x:v>SYN-KHO-HN</x:v>
      </x:c>
      <x:c r="D32" s="11" t="str">
        <x:v>Điều chỉnh trực tiếp
(manual_adjustment)</x:v>
      </x:c>
      <x:c r="E32" s="26" t="n">
        <x:v>18</x:v>
      </x:c>
      <x:c r="F32" s="26" t="n">
        <x:v>1</x:v>
      </x:c>
      <x:c r="G32" s="28" t="n">
        <x:f>E32+F32</x:f>
        <x:v>19</x:v>
      </x:c>
      <x:c r="H32" s="26" t="n">
        <x:v>19</x:v>
      </x:c>
      <x:c r="I32" s="24" t="str">
        <x:f>IF(G32=H32,"KHỚP","LỖI TỒN")</x:f>
        <x:v>KHỚP</x:v>
      </x:c>
      <x:c r="J32" s="26" t="n">
        <x:v>4</x:v>
      </x:c>
      <x:c r="K32" s="26" t="n">
        <x:v>4</x:v>
      </x:c>
      <x:c r="L32" s="28" t="n">
        <x:f>H32-K32</x:f>
        <x:v>15</x:v>
      </x:c>
      <x:c r="M32" s="26" t="n">
        <x:v>15</x:v>
      </x:c>
      <x:c r="N32" s="26" t="n">
        <x:v>3</x:v>
      </x:c>
      <x:c r="O32" s="28" t="n">
        <x:f>MAX(L32-N32,0)</x:f>
        <x:v>12</x:v>
      </x:c>
      <x:c r="P32" s="26" t="n">
        <x:v>12</x:v>
      </x:c>
      <x:c r="Q32" s="24" t="str">
        <x:f>IF(AND(L32=M32,O32=P32),"KHỚP","LỖI ATP")</x:f>
        <x:v>KHỚP</x:v>
      </x:c>
    </x:row>
    <x:row r="33" ht="24" customHeight="1">
      <x:c r="A33" s="2"/>
      <x:c r="B33" s="2"/>
      <x:c r="C33" s="2"/>
      <x:c r="D33" s="2"/>
      <x:c r="E33" s="2"/>
      <x:c r="F33" s="2"/>
      <x:c r="G33" s="2"/>
      <x:c r="H33" s="2"/>
      <x:c r="I33" s="2"/>
      <x:c r="J33" s="2"/>
      <x:c r="K33" s="2"/>
      <x:c r="L33" s="2"/>
      <x:c r="M33" s="2"/>
      <x:c r="N33" s="2"/>
      <x:c r="O33" s="2"/>
      <x:c r="P33" s="2"/>
      <x:c r="Q33" s="2"/>
    </x:row>
    <x:row r="34" ht="24" customHeight="1">
      <x:c r="A34" s="2"/>
      <x:c r="B34" s="2"/>
      <x:c r="C34" s="2"/>
      <x:c r="D34" s="2"/>
      <x:c r="E34" s="2"/>
      <x:c r="F34" s="2"/>
      <x:c r="G34" s="2"/>
      <x:c r="H34" s="2"/>
      <x:c r="I34" s="2"/>
      <x:c r="J34" s="2"/>
      <x:c r="K34" s="2"/>
      <x:c r="L34" s="2"/>
      <x:c r="M34" s="2"/>
      <x:c r="N34" s="2"/>
      <x:c r="O34" s="2"/>
      <x:c r="P34" s="2"/>
      <x:c r="Q34" s="2"/>
    </x:row>
    <x:row r="35" ht="24" customHeight="1">
      <x:c r="A35" s="2"/>
      <x:c r="B35" s="2"/>
      <x:c r="C35" s="2"/>
      <x:c r="D35" s="2"/>
      <x:c r="E35" s="2"/>
      <x:c r="F35" s="2"/>
      <x:c r="G35" s="2"/>
      <x:c r="H35" s="2"/>
      <x:c r="I35" s="2"/>
      <x:c r="J35" s="2"/>
      <x:c r="K35" s="2"/>
      <x:c r="L35" s="2"/>
      <x:c r="M35" s="2"/>
      <x:c r="N35" s="2"/>
      <x:c r="O35" s="2"/>
      <x:c r="P35" s="2"/>
      <x:c r="Q35" s="2"/>
    </x:row>
    <x:row r="36" ht="24" customHeight="1">
      <x:c r="A36" s="2"/>
      <x:c r="B36" s="2"/>
      <x:c r="C36" s="2"/>
      <x:c r="D36" s="2"/>
      <x:c r="E36" s="2"/>
      <x:c r="F36" s="2"/>
      <x:c r="G36" s="2"/>
      <x:c r="H36" s="2"/>
      <x:c r="I36" s="2"/>
      <x:c r="J36" s="2"/>
      <x:c r="K36" s="2"/>
      <x:c r="L36" s="2"/>
      <x:c r="M36" s="2"/>
      <x:c r="N36" s="2"/>
      <x:c r="O36" s="2"/>
      <x:c r="P36" s="2"/>
      <x:c r="Q36" s="2"/>
    </x:row>
    <x:row r="37" ht="24" customHeight="1">
      <x:c r="A37" s="2"/>
      <x:c r="B37" s="2"/>
      <x:c r="C37" s="2"/>
      <x:c r="D37" s="2"/>
      <x:c r="E37" s="2"/>
      <x:c r="F37" s="2"/>
      <x:c r="G37" s="2"/>
      <x:c r="H37" s="2"/>
      <x:c r="I37" s="2"/>
      <x:c r="J37" s="2"/>
      <x:c r="K37" s="2"/>
      <x:c r="L37" s="2"/>
      <x:c r="M37" s="2"/>
      <x:c r="N37" s="2"/>
      <x:c r="O37" s="2"/>
      <x:c r="P37" s="2"/>
      <x:c r="Q37" s="2"/>
    </x:row>
    <x:row r="38" ht="24" customHeight="1">
      <x:c r="A38" s="2"/>
      <x:c r="B38" s="2"/>
      <x:c r="C38" s="2"/>
      <x:c r="D38" s="2"/>
      <x:c r="E38" s="2"/>
      <x:c r="F38" s="2"/>
      <x:c r="G38" s="2"/>
      <x:c r="H38" s="2"/>
      <x:c r="I38" s="2"/>
      <x:c r="J38" s="2"/>
      <x:c r="K38" s="2"/>
      <x:c r="L38" s="2"/>
      <x:c r="M38" s="2"/>
      <x:c r="N38" s="2"/>
      <x:c r="O38" s="2"/>
      <x:c r="P38" s="2"/>
      <x:c r="Q38" s="2"/>
    </x:row>
    <x:row r="39" ht="24" customHeight="1">
      <x:c r="A39" s="2"/>
      <x:c r="B39" s="2"/>
      <x:c r="C39" s="2"/>
      <x:c r="D39" s="2"/>
      <x:c r="E39" s="2"/>
      <x:c r="F39" s="2"/>
      <x:c r="G39" s="2"/>
      <x:c r="H39" s="2"/>
      <x:c r="I39" s="2"/>
      <x:c r="J39" s="2"/>
      <x:c r="K39" s="2"/>
      <x:c r="L39" s="2"/>
      <x:c r="M39" s="2"/>
      <x:c r="N39" s="2"/>
      <x:c r="O39" s="2"/>
      <x:c r="P39" s="2"/>
      <x:c r="Q39" s="2"/>
    </x:row>
    <x:row r="40" ht="24" customHeight="1">
      <x:c r="A40" s="2"/>
      <x:c r="B40" s="2"/>
      <x:c r="C40" s="2"/>
      <x:c r="D40" s="2"/>
      <x:c r="E40" s="2"/>
      <x:c r="F40" s="2"/>
      <x:c r="G40" s="2"/>
      <x:c r="H40" s="2"/>
      <x:c r="I40" s="2"/>
      <x:c r="J40" s="2"/>
      <x:c r="K40" s="2"/>
      <x:c r="L40" s="2"/>
      <x:c r="M40" s="2"/>
      <x:c r="N40" s="2"/>
      <x:c r="O40" s="2"/>
      <x:c r="P40" s="2"/>
      <x:c r="Q40" s="2"/>
    </x:row>
    <x:row r="41" ht="24" customHeight="1">
      <x:c r="A41" s="2"/>
      <x:c r="B41" s="2"/>
      <x:c r="C41" s="2"/>
      <x:c r="D41" s="2"/>
      <x:c r="E41" s="2"/>
      <x:c r="F41" s="2"/>
      <x:c r="G41" s="2"/>
      <x:c r="H41" s="2"/>
      <x:c r="I41" s="2"/>
      <x:c r="J41" s="2"/>
      <x:c r="K41" s="2"/>
      <x:c r="L41" s="2"/>
      <x:c r="M41" s="2"/>
      <x:c r="N41" s="2"/>
      <x:c r="O41" s="2"/>
      <x:c r="P41" s="2"/>
      <x:c r="Q41" s="2"/>
    </x:row>
    <x:row r="42" ht="24" customHeight="1">
      <x:c r="A42" s="2"/>
      <x:c r="B42" s="2"/>
      <x:c r="C42" s="2"/>
      <x:c r="D42" s="2"/>
      <x:c r="E42" s="2"/>
      <x:c r="F42" s="2"/>
      <x:c r="G42" s="2"/>
      <x:c r="H42" s="2"/>
      <x:c r="I42" s="2"/>
      <x:c r="J42" s="2"/>
      <x:c r="K42" s="2"/>
      <x:c r="L42" s="2"/>
      <x:c r="M42" s="2"/>
      <x:c r="N42" s="2"/>
      <x:c r="O42" s="2"/>
      <x:c r="P42" s="2"/>
      <x:c r="Q42" s="2"/>
    </x:row>
    <x:row r="43" ht="24" customHeight="1">
      <x:c r="A43" s="2"/>
      <x:c r="B43" s="2"/>
      <x:c r="C43" s="2"/>
      <x:c r="D43" s="2"/>
      <x:c r="E43" s="2"/>
      <x:c r="F43" s="2"/>
      <x:c r="G43" s="2"/>
      <x:c r="H43" s="2"/>
      <x:c r="I43" s="2"/>
      <x:c r="J43" s="2"/>
      <x:c r="K43" s="2"/>
      <x:c r="L43" s="2"/>
      <x:c r="M43" s="2"/>
      <x:c r="N43" s="2"/>
      <x:c r="O43" s="2"/>
      <x:c r="P43" s="2"/>
      <x:c r="Q43" s="2"/>
    </x:row>
    <x:row r="44" ht="24" customHeight="1">
      <x:c r="A44" s="2"/>
      <x:c r="B44" s="2"/>
      <x:c r="C44" s="2"/>
      <x:c r="D44" s="2"/>
      <x:c r="E44" s="2"/>
      <x:c r="F44" s="2"/>
      <x:c r="G44" s="2"/>
      <x:c r="H44" s="2"/>
      <x:c r="I44" s="2"/>
      <x:c r="J44" s="2"/>
      <x:c r="K44" s="2"/>
      <x:c r="L44" s="2"/>
      <x:c r="M44" s="2"/>
      <x:c r="N44" s="2"/>
      <x:c r="O44" s="2"/>
      <x:c r="P44" s="2"/>
      <x:c r="Q44" s="2"/>
    </x:row>
    <x:row r="45" ht="24" customHeight="1">
      <x:c r="A45" s="2"/>
      <x:c r="B45" s="2"/>
      <x:c r="C45" s="2"/>
      <x:c r="D45" s="2"/>
      <x:c r="E45" s="2"/>
      <x:c r="F45" s="2"/>
      <x:c r="G45" s="2"/>
      <x:c r="H45" s="2"/>
      <x:c r="I45" s="2"/>
      <x:c r="J45" s="2"/>
      <x:c r="K45" s="2"/>
      <x:c r="L45" s="2"/>
      <x:c r="M45" s="2"/>
      <x:c r="N45" s="2"/>
      <x:c r="O45" s="2"/>
      <x:c r="P45" s="2"/>
      <x:c r="Q45" s="2"/>
    </x:row>
    <x:row r="46" ht="24" customHeight="1">
      <x:c r="A46" s="2"/>
      <x:c r="B46" s="2"/>
      <x:c r="C46" s="2"/>
      <x:c r="D46" s="2"/>
      <x:c r="E46" s="2"/>
      <x:c r="F46" s="2"/>
      <x:c r="G46" s="2"/>
      <x:c r="H46" s="2"/>
      <x:c r="I46" s="2"/>
      <x:c r="J46" s="2"/>
      <x:c r="K46" s="2"/>
      <x:c r="L46" s="2"/>
      <x:c r="M46" s="2"/>
      <x:c r="N46" s="2"/>
      <x:c r="O46" s="2"/>
      <x:c r="P46" s="2"/>
      <x:c r="Q46" s="2"/>
    </x:row>
    <x:row r="47" ht="24" customHeight="1">
      <x:c r="A47" s="2"/>
      <x:c r="B47" s="2"/>
      <x:c r="C47" s="2"/>
      <x:c r="D47" s="2"/>
      <x:c r="E47" s="2"/>
      <x:c r="F47" s="2"/>
      <x:c r="G47" s="2"/>
      <x:c r="H47" s="2"/>
      <x:c r="I47" s="2"/>
      <x:c r="J47" s="2"/>
      <x:c r="K47" s="2"/>
      <x:c r="L47" s="2"/>
      <x:c r="M47" s="2"/>
      <x:c r="N47" s="2"/>
      <x:c r="O47" s="2"/>
      <x:c r="P47" s="2"/>
      <x:c r="Q47" s="2"/>
    </x:row>
    <x:row r="48" ht="24" customHeight="1">
      <x:c r="A48" s="2"/>
      <x:c r="B48" s="2"/>
      <x:c r="C48" s="2"/>
      <x:c r="D48" s="2"/>
      <x:c r="E48" s="2"/>
      <x:c r="F48" s="2"/>
      <x:c r="G48" s="2"/>
      <x:c r="H48" s="2"/>
      <x:c r="I48" s="2"/>
      <x:c r="J48" s="2"/>
      <x:c r="K48" s="2"/>
      <x:c r="L48" s="2"/>
      <x:c r="M48" s="2"/>
      <x:c r="N48" s="2"/>
      <x:c r="O48" s="2"/>
      <x:c r="P48" s="2"/>
      <x:c r="Q48" s="2"/>
    </x:row>
    <x:row r="49" ht="24" customHeight="1">
      <x:c r="A49" s="2"/>
      <x:c r="B49" s="2"/>
      <x:c r="C49" s="2"/>
      <x:c r="D49" s="2"/>
      <x:c r="E49" s="2"/>
      <x:c r="F49" s="2"/>
      <x:c r="G49" s="2"/>
      <x:c r="H49" s="2"/>
      <x:c r="I49" s="2"/>
      <x:c r="J49" s="2"/>
      <x:c r="K49" s="2"/>
      <x:c r="L49" s="2"/>
      <x:c r="M49" s="2"/>
      <x:c r="N49" s="2"/>
      <x:c r="O49" s="2"/>
      <x:c r="P49" s="2"/>
      <x:c r="Q49" s="2"/>
    </x:row>
    <x:row r="50" ht="24" customHeight="1">
      <x:c r="A50" s="2"/>
      <x:c r="B50" s="2"/>
      <x:c r="C50" s="2"/>
      <x:c r="D50" s="2"/>
      <x:c r="E50" s="2"/>
      <x:c r="F50" s="2"/>
      <x:c r="G50" s="2"/>
      <x:c r="H50" s="2"/>
      <x:c r="I50" s="2"/>
      <x:c r="J50" s="2"/>
      <x:c r="K50" s="2"/>
      <x:c r="L50" s="2"/>
      <x:c r="M50" s="2"/>
      <x:c r="N50" s="2"/>
      <x:c r="O50" s="2"/>
      <x:c r="P50" s="2"/>
      <x:c r="Q50" s="2"/>
    </x:row>
    <x:row r="51" ht="24" customHeight="1">
      <x:c r="A51" s="2"/>
      <x:c r="B51" s="2"/>
      <x:c r="C51" s="2"/>
      <x:c r="D51" s="2"/>
      <x:c r="E51" s="2"/>
      <x:c r="F51" s="2"/>
      <x:c r="G51" s="2"/>
      <x:c r="H51" s="2"/>
      <x:c r="I51" s="2"/>
      <x:c r="J51" s="2"/>
      <x:c r="K51" s="2"/>
      <x:c r="L51" s="2"/>
      <x:c r="M51" s="2"/>
      <x:c r="N51" s="2"/>
      <x:c r="O51" s="2"/>
      <x:c r="P51" s="2"/>
      <x:c r="Q51" s="2"/>
    </x:row>
    <x:row r="52" ht="24" customHeight="1">
      <x:c r="A52" s="2"/>
      <x:c r="B52" s="2"/>
      <x:c r="C52" s="2"/>
      <x:c r="D52" s="2"/>
      <x:c r="E52" s="2"/>
      <x:c r="F52" s="2"/>
      <x:c r="G52" s="2"/>
      <x:c r="H52" s="2"/>
      <x:c r="I52" s="2"/>
      <x:c r="J52" s="2"/>
      <x:c r="K52" s="2"/>
      <x:c r="L52" s="2"/>
      <x:c r="M52" s="2"/>
      <x:c r="N52" s="2"/>
      <x:c r="O52" s="2"/>
      <x:c r="P52" s="2"/>
      <x:c r="Q52" s="2"/>
    </x:row>
    <x:row r="53" ht="24" customHeight="1">
      <x:c r="A53" s="2"/>
      <x:c r="B53" s="2"/>
      <x:c r="C53" s="2"/>
      <x:c r="D53" s="2"/>
      <x:c r="E53" s="2"/>
      <x:c r="F53" s="2"/>
      <x:c r="G53" s="2"/>
      <x:c r="H53" s="2"/>
      <x:c r="I53" s="2"/>
      <x:c r="J53" s="2"/>
      <x:c r="K53" s="2"/>
      <x:c r="L53" s="2"/>
      <x:c r="M53" s="2"/>
      <x:c r="N53" s="2"/>
      <x:c r="O53" s="2"/>
      <x:c r="P53" s="2"/>
      <x:c r="Q53" s="2"/>
    </x:row>
    <x:row r="54" ht="24" customHeight="1">
      <x:c r="A54" s="2"/>
      <x:c r="B54" s="2"/>
      <x:c r="C54" s="2"/>
      <x:c r="D54" s="2"/>
      <x:c r="E54" s="2"/>
      <x:c r="F54" s="2"/>
      <x:c r="G54" s="2"/>
      <x:c r="H54" s="2"/>
      <x:c r="I54" s="2"/>
      <x:c r="J54" s="2"/>
      <x:c r="K54" s="2"/>
      <x:c r="L54" s="2"/>
      <x:c r="M54" s="2"/>
      <x:c r="N54" s="2"/>
      <x:c r="O54" s="2"/>
      <x:c r="P54" s="2"/>
      <x:c r="Q54" s="2"/>
    </x:row>
    <x:row r="55" ht="24" customHeight="1">
      <x:c r="A55" s="2"/>
      <x:c r="B55" s="2"/>
      <x:c r="C55" s="2"/>
      <x:c r="D55" s="2"/>
      <x:c r="E55" s="2"/>
      <x:c r="F55" s="2"/>
      <x:c r="G55" s="2"/>
      <x:c r="H55" s="2"/>
      <x:c r="I55" s="2"/>
      <x:c r="J55" s="2"/>
      <x:c r="K55" s="2"/>
      <x:c r="L55" s="2"/>
      <x:c r="M55" s="2"/>
      <x:c r="N55" s="2"/>
      <x:c r="O55" s="2"/>
      <x:c r="P55" s="2"/>
      <x:c r="Q55" s="2"/>
    </x:row>
    <x:row r="56" ht="24" customHeight="1">
      <x:c r="A56" s="2"/>
      <x:c r="B56" s="2"/>
      <x:c r="C56" s="2"/>
      <x:c r="D56" s="2"/>
      <x:c r="E56" s="2"/>
      <x:c r="F56" s="2"/>
      <x:c r="G56" s="2"/>
      <x:c r="H56" s="2"/>
      <x:c r="I56" s="2"/>
      <x:c r="J56" s="2"/>
      <x:c r="K56" s="2"/>
      <x:c r="L56" s="2"/>
      <x:c r="M56" s="2"/>
      <x:c r="N56" s="2"/>
      <x:c r="O56" s="2"/>
      <x:c r="P56" s="2"/>
      <x:c r="Q56" s="2"/>
    </x:row>
    <x:row r="57" ht="24" customHeight="1">
      <x:c r="A57" s="2"/>
      <x:c r="B57" s="2"/>
      <x:c r="C57" s="2"/>
      <x:c r="D57" s="2"/>
      <x:c r="E57" s="2"/>
      <x:c r="F57" s="2"/>
      <x:c r="G57" s="2"/>
      <x:c r="H57" s="2"/>
      <x:c r="I57" s="2"/>
      <x:c r="J57" s="2"/>
      <x:c r="K57" s="2"/>
      <x:c r="L57" s="2"/>
      <x:c r="M57" s="2"/>
      <x:c r="N57" s="2"/>
      <x:c r="O57" s="2"/>
      <x:c r="P57" s="2"/>
      <x:c r="Q57" s="2"/>
    </x:row>
    <x:row r="58" ht="24" customHeight="1">
      <x:c r="A58" s="2"/>
      <x:c r="B58" s="2"/>
      <x:c r="C58" s="2"/>
      <x:c r="D58" s="2"/>
      <x:c r="E58" s="2"/>
      <x:c r="F58" s="2"/>
      <x:c r="G58" s="2"/>
      <x:c r="H58" s="2"/>
      <x:c r="I58" s="2"/>
      <x:c r="J58" s="2"/>
      <x:c r="K58" s="2"/>
      <x:c r="L58" s="2"/>
      <x:c r="M58" s="2"/>
      <x:c r="N58" s="2"/>
      <x:c r="O58" s="2"/>
      <x:c r="P58" s="2"/>
      <x:c r="Q58" s="2"/>
    </x:row>
    <x:row r="59" ht="24" customHeight="1">
      <x:c r="A59" s="2"/>
      <x:c r="B59" s="2"/>
      <x:c r="C59" s="2"/>
      <x:c r="D59" s="2"/>
      <x:c r="E59" s="2"/>
      <x:c r="F59" s="2"/>
      <x:c r="G59" s="2"/>
      <x:c r="H59" s="2"/>
      <x:c r="I59" s="2"/>
      <x:c r="J59" s="2"/>
      <x:c r="K59" s="2"/>
      <x:c r="L59" s="2"/>
      <x:c r="M59" s="2"/>
      <x:c r="N59" s="2"/>
      <x:c r="O59" s="2"/>
      <x:c r="P59" s="2"/>
      <x:c r="Q59" s="2"/>
    </x:row>
    <x:row r="60" ht="24" customHeight="1">
      <x:c r="A60" s="2"/>
      <x:c r="B60" s="2"/>
      <x:c r="C60" s="2"/>
      <x:c r="D60" s="2"/>
      <x:c r="E60" s="2"/>
      <x:c r="F60" s="2"/>
      <x:c r="G60" s="2"/>
      <x:c r="H60" s="2"/>
      <x:c r="I60" s="2"/>
      <x:c r="J60" s="2"/>
      <x:c r="K60" s="2"/>
      <x:c r="L60" s="2"/>
      <x:c r="M60" s="2"/>
      <x:c r="N60" s="2"/>
      <x:c r="O60" s="2"/>
      <x:c r="P60" s="2"/>
      <x:c r="Q60" s="2"/>
    </x:row>
    <x:row r="61" ht="24" customHeight="1">
      <x:c r="A61" s="2"/>
      <x:c r="B61" s="2"/>
      <x:c r="C61" s="2"/>
      <x:c r="D61" s="2"/>
      <x:c r="E61" s="2"/>
      <x:c r="F61" s="2"/>
      <x:c r="G61" s="2"/>
      <x:c r="H61" s="2"/>
      <x:c r="I61" s="2"/>
      <x:c r="J61" s="2"/>
      <x:c r="K61" s="2"/>
      <x:c r="L61" s="2"/>
      <x:c r="M61" s="2"/>
      <x:c r="N61" s="2"/>
      <x:c r="O61" s="2"/>
      <x:c r="P61" s="2"/>
      <x:c r="Q61" s="2"/>
    </x:row>
    <x:row r="62" ht="24" customHeight="1">
      <x:c r="A62" s="2"/>
      <x:c r="B62" s="2"/>
      <x:c r="C62" s="2"/>
      <x:c r="D62" s="2"/>
      <x:c r="E62" s="2"/>
      <x:c r="F62" s="2"/>
      <x:c r="G62" s="2"/>
      <x:c r="H62" s="2"/>
      <x:c r="I62" s="2"/>
      <x:c r="J62" s="2"/>
      <x:c r="K62" s="2"/>
      <x:c r="L62" s="2"/>
      <x:c r="M62" s="2"/>
      <x:c r="N62" s="2"/>
      <x:c r="O62" s="2"/>
      <x:c r="P62" s="2"/>
      <x:c r="Q62" s="2"/>
    </x:row>
    <x:row r="63" ht="24" customHeight="1">
      <x:c r="A63" s="2"/>
      <x:c r="B63" s="2"/>
      <x:c r="C63" s="2"/>
      <x:c r="D63" s="2"/>
      <x:c r="E63" s="2"/>
      <x:c r="F63" s="2"/>
      <x:c r="G63" s="2"/>
      <x:c r="H63" s="2"/>
      <x:c r="I63" s="2"/>
      <x:c r="J63" s="2"/>
      <x:c r="K63" s="2"/>
      <x:c r="L63" s="2"/>
      <x:c r="M63" s="2"/>
      <x:c r="N63" s="2"/>
      <x:c r="O63" s="2"/>
      <x:c r="P63" s="2"/>
      <x:c r="Q63" s="2"/>
    </x:row>
    <x:row r="64" ht="24" customHeight="1">
      <x:c r="A64" s="2"/>
      <x:c r="B64" s="2"/>
      <x:c r="C64" s="2"/>
      <x:c r="D64" s="2"/>
      <x:c r="E64" s="2"/>
      <x:c r="F64" s="2"/>
      <x:c r="G64" s="2"/>
      <x:c r="H64" s="2"/>
      <x:c r="I64" s="2"/>
      <x:c r="J64" s="2"/>
      <x:c r="K64" s="2"/>
      <x:c r="L64" s="2"/>
      <x:c r="M64" s="2"/>
      <x:c r="N64" s="2"/>
      <x:c r="O64" s="2"/>
      <x:c r="P64" s="2"/>
      <x:c r="Q64" s="2"/>
    </x:row>
    <x:row r="65" ht="24" customHeight="1">
      <x:c r="A65" s="2"/>
      <x:c r="B65" s="2"/>
      <x:c r="C65" s="2"/>
      <x:c r="D65" s="2"/>
      <x:c r="E65" s="2"/>
      <x:c r="F65" s="2"/>
      <x:c r="G65" s="2"/>
      <x:c r="H65" s="2"/>
      <x:c r="I65" s="2"/>
      <x:c r="J65" s="2"/>
      <x:c r="K65" s="2"/>
      <x:c r="L65" s="2"/>
      <x:c r="M65" s="2"/>
      <x:c r="N65" s="2"/>
      <x:c r="O65" s="2"/>
      <x:c r="P65" s="2"/>
      <x:c r="Q65" s="2"/>
    </x:row>
    <x:row r="66" ht="24" customHeight="1">
      <x:c r="A66" s="2"/>
      <x:c r="B66" s="2"/>
      <x:c r="C66" s="2"/>
      <x:c r="D66" s="2"/>
      <x:c r="E66" s="2"/>
      <x:c r="F66" s="2"/>
      <x:c r="G66" s="2"/>
      <x:c r="H66" s="2"/>
      <x:c r="I66" s="2"/>
      <x:c r="J66" s="2"/>
      <x:c r="K66" s="2"/>
      <x:c r="L66" s="2"/>
      <x:c r="M66" s="2"/>
      <x:c r="N66" s="2"/>
      <x:c r="O66" s="2"/>
      <x:c r="P66" s="2"/>
      <x:c r="Q66" s="2"/>
    </x:row>
    <x:row r="67" ht="24" customHeight="1">
      <x:c r="A67" s="2"/>
      <x:c r="B67" s="2"/>
      <x:c r="C67" s="2"/>
      <x:c r="D67" s="2"/>
      <x:c r="E67" s="2"/>
      <x:c r="F67" s="2"/>
      <x:c r="G67" s="2"/>
      <x:c r="H67" s="2"/>
      <x:c r="I67" s="2"/>
      <x:c r="J67" s="2"/>
      <x:c r="K67" s="2"/>
      <x:c r="L67" s="2"/>
      <x:c r="M67" s="2"/>
      <x:c r="N67" s="2"/>
      <x:c r="O67" s="2"/>
      <x:c r="P67" s="2"/>
      <x:c r="Q67" s="2"/>
    </x:row>
    <x:row r="68" ht="24" customHeight="1">
      <x:c r="A68" s="2"/>
      <x:c r="B68" s="2"/>
      <x:c r="C68" s="2"/>
      <x:c r="D68" s="2"/>
      <x:c r="E68" s="2"/>
      <x:c r="F68" s="2"/>
      <x:c r="G68" s="2"/>
      <x:c r="H68" s="2"/>
      <x:c r="I68" s="2"/>
      <x:c r="J68" s="2"/>
      <x:c r="K68" s="2"/>
      <x:c r="L68" s="2"/>
      <x:c r="M68" s="2"/>
      <x:c r="N68" s="2"/>
      <x:c r="O68" s="2"/>
      <x:c r="P68" s="2"/>
      <x:c r="Q68" s="2"/>
    </x:row>
    <x:row r="69" ht="24" customHeight="1">
      <x:c r="A69" s="2"/>
      <x:c r="B69" s="2"/>
      <x:c r="C69" s="2"/>
      <x:c r="D69" s="2"/>
      <x:c r="E69" s="2"/>
      <x:c r="F69" s="2"/>
      <x:c r="G69" s="2"/>
      <x:c r="H69" s="2"/>
      <x:c r="I69" s="2"/>
      <x:c r="J69" s="2"/>
      <x:c r="K69" s="2"/>
      <x:c r="L69" s="2"/>
      <x:c r="M69" s="2"/>
      <x:c r="N69" s="2"/>
      <x:c r="O69" s="2"/>
      <x:c r="P69" s="2"/>
      <x:c r="Q69" s="2"/>
    </x:row>
    <x:row r="70" ht="24" customHeight="1">
      <x:c r="A70" s="2"/>
      <x:c r="B70" s="2"/>
      <x:c r="C70" s="2"/>
      <x:c r="D70" s="2"/>
      <x:c r="E70" s="2"/>
      <x:c r="F70" s="2"/>
      <x:c r="G70" s="2"/>
      <x:c r="H70" s="2"/>
      <x:c r="I70" s="2"/>
      <x:c r="J70" s="2"/>
      <x:c r="K70" s="2"/>
      <x:c r="L70" s="2"/>
      <x:c r="M70" s="2"/>
      <x:c r="N70" s="2"/>
      <x:c r="O70" s="2"/>
      <x:c r="P70" s="2"/>
      <x:c r="Q70" s="2"/>
    </x:row>
    <x:row r="71" ht="24" customHeight="1">
      <x:c r="A71" s="2"/>
      <x:c r="B71" s="2"/>
      <x:c r="C71" s="2"/>
      <x:c r="D71" s="2"/>
      <x:c r="E71" s="2"/>
      <x:c r="F71" s="2"/>
      <x:c r="G71" s="2"/>
      <x:c r="H71" s="2"/>
      <x:c r="I71" s="2"/>
      <x:c r="J71" s="2"/>
      <x:c r="K71" s="2"/>
      <x:c r="L71" s="2"/>
      <x:c r="M71" s="2"/>
      <x:c r="N71" s="2"/>
      <x:c r="O71" s="2"/>
      <x:c r="P71" s="2"/>
      <x:c r="Q71" s="2"/>
    </x:row>
    <x:row r="72" ht="24" customHeight="1">
      <x:c r="A72" s="2"/>
      <x:c r="B72" s="2"/>
      <x:c r="C72" s="2"/>
      <x:c r="D72" s="2"/>
      <x:c r="E72" s="2"/>
      <x:c r="F72" s="2"/>
      <x:c r="G72" s="2"/>
      <x:c r="H72" s="2"/>
      <x:c r="I72" s="2"/>
      <x:c r="J72" s="2"/>
      <x:c r="K72" s="2"/>
      <x:c r="L72" s="2"/>
      <x:c r="M72" s="2"/>
      <x:c r="N72" s="2"/>
      <x:c r="O72" s="2"/>
      <x:c r="P72" s="2"/>
      <x:c r="Q72" s="2"/>
    </x:row>
    <x:row r="73" ht="24" customHeight="1">
      <x:c r="A73" s="2"/>
      <x:c r="B73" s="2"/>
      <x:c r="C73" s="2"/>
      <x:c r="D73" s="2"/>
      <x:c r="E73" s="2"/>
      <x:c r="F73" s="2"/>
      <x:c r="G73" s="2"/>
      <x:c r="H73" s="2"/>
      <x:c r="I73" s="2"/>
      <x:c r="J73" s="2"/>
      <x:c r="K73" s="2"/>
      <x:c r="L73" s="2"/>
      <x:c r="M73" s="2"/>
      <x:c r="N73" s="2"/>
      <x:c r="O73" s="2"/>
      <x:c r="P73" s="2"/>
      <x:c r="Q73" s="2"/>
    </x:row>
    <x:row r="74" ht="24" customHeight="1">
      <x:c r="A74" s="2"/>
      <x:c r="B74" s="2"/>
      <x:c r="C74" s="2"/>
      <x:c r="D74" s="2"/>
      <x:c r="E74" s="2"/>
      <x:c r="F74" s="2"/>
      <x:c r="G74" s="2"/>
      <x:c r="H74" s="2"/>
      <x:c r="I74" s="2"/>
      <x:c r="J74" s="2"/>
      <x:c r="K74" s="2"/>
      <x:c r="L74" s="2"/>
      <x:c r="M74" s="2"/>
      <x:c r="N74" s="2"/>
      <x:c r="O74" s="2"/>
      <x:c r="P74" s="2"/>
      <x:c r="Q74" s="2"/>
    </x:row>
    <x:row r="75" ht="24" customHeight="1">
      <x:c r="A75" s="2"/>
      <x:c r="B75" s="2"/>
      <x:c r="C75" s="2"/>
      <x:c r="D75" s="2"/>
      <x:c r="E75" s="2"/>
      <x:c r="F75" s="2"/>
      <x:c r="G75" s="2"/>
      <x:c r="H75" s="2"/>
      <x:c r="I75" s="2"/>
      <x:c r="J75" s="2"/>
      <x:c r="K75" s="2"/>
      <x:c r="L75" s="2"/>
      <x:c r="M75" s="2"/>
      <x:c r="N75" s="2"/>
      <x:c r="O75" s="2"/>
      <x:c r="P75" s="2"/>
      <x:c r="Q75" s="2"/>
    </x:row>
    <x:row r="76" ht="24" customHeight="1">
      <x:c r="A76" s="2"/>
      <x:c r="B76" s="2"/>
      <x:c r="C76" s="2"/>
      <x:c r="D76" s="2"/>
      <x:c r="E76" s="2"/>
      <x:c r="F76" s="2"/>
      <x:c r="G76" s="2"/>
      <x:c r="H76" s="2"/>
      <x:c r="I76" s="2"/>
      <x:c r="J76" s="2"/>
      <x:c r="K76" s="2"/>
      <x:c r="L76" s="2"/>
      <x:c r="M76" s="2"/>
      <x:c r="N76" s="2"/>
      <x:c r="O76" s="2"/>
      <x:c r="P76" s="2"/>
      <x:c r="Q76" s="2"/>
    </x:row>
    <x:row r="77" ht="24" customHeight="1">
      <x:c r="A77" s="2"/>
      <x:c r="B77" s="2"/>
      <x:c r="C77" s="2"/>
      <x:c r="D77" s="2"/>
      <x:c r="E77" s="2"/>
      <x:c r="F77" s="2"/>
      <x:c r="G77" s="2"/>
      <x:c r="H77" s="2"/>
      <x:c r="I77" s="2"/>
      <x:c r="J77" s="2"/>
      <x:c r="K77" s="2"/>
      <x:c r="L77" s="2"/>
      <x:c r="M77" s="2"/>
      <x:c r="N77" s="2"/>
      <x:c r="O77" s="2"/>
      <x:c r="P77" s="2"/>
      <x:c r="Q77" s="2"/>
    </x:row>
    <x:row r="78" ht="24" customHeight="1">
      <x:c r="A78" s="2"/>
      <x:c r="B78" s="2"/>
      <x:c r="C78" s="2"/>
      <x:c r="D78" s="2"/>
      <x:c r="E78" s="2"/>
      <x:c r="F78" s="2"/>
      <x:c r="G78" s="2"/>
      <x:c r="H78" s="2"/>
      <x:c r="I78" s="2"/>
      <x:c r="J78" s="2"/>
      <x:c r="K78" s="2"/>
      <x:c r="L78" s="2"/>
      <x:c r="M78" s="2"/>
      <x:c r="N78" s="2"/>
      <x:c r="O78" s="2"/>
      <x:c r="P78" s="2"/>
      <x:c r="Q78" s="2"/>
    </x:row>
    <x:row r="79" ht="24" customHeight="1">
      <x:c r="A79" s="2"/>
      <x:c r="B79" s="2"/>
      <x:c r="C79" s="2"/>
      <x:c r="D79" s="2"/>
      <x:c r="E79" s="2"/>
      <x:c r="F79" s="2"/>
      <x:c r="G79" s="2"/>
      <x:c r="H79" s="2"/>
      <x:c r="I79" s="2"/>
      <x:c r="J79" s="2"/>
      <x:c r="K79" s="2"/>
      <x:c r="L79" s="2"/>
      <x:c r="M79" s="2"/>
      <x:c r="N79" s="2"/>
      <x:c r="O79" s="2"/>
      <x:c r="P79" s="2"/>
      <x:c r="Q79" s="2"/>
    </x:row>
    <x:row r="80" ht="24" customHeight="1">
      <x:c r="A80" s="2"/>
      <x:c r="B80" s="2"/>
      <x:c r="C80" s="2"/>
      <x:c r="D80" s="2"/>
      <x:c r="E80" s="2"/>
      <x:c r="F80" s="2"/>
      <x:c r="G80" s="2"/>
      <x:c r="H80" s="2"/>
      <x:c r="I80" s="2"/>
      <x:c r="J80" s="2"/>
      <x:c r="K80" s="2"/>
      <x:c r="L80" s="2"/>
      <x:c r="M80" s="2"/>
      <x:c r="N80" s="2"/>
      <x:c r="O80" s="2"/>
      <x:c r="P80" s="2"/>
      <x:c r="Q80" s="2"/>
    </x:row>
  </x:sheetData>
  <x:mergeCells>
    <x:mergeCell ref="A1:J1"/>
    <x:mergeCell ref="A2:J3"/>
  </x:mergeCells>
  <x:conditionalFormatting sqref="I20:I32">
    <x:cfRule type="containsText" dxfId="12" priority="1" operator="containsText" text="LỖI"/>
    <x:cfRule type="containsText" dxfId="13" priority="2" operator="containsText" text="KHỚP"/>
  </x:conditionalFormatting>
  <x:conditionalFormatting sqref="Q20:Q32">
    <x:cfRule type="containsText" dxfId="14" priority="3" operator="containsText" text="LỖI"/>
    <x:cfRule type="containsText" dxfId="15" priority="4" operator="containsText" text="KHỚP"/>
  </x:conditionalFormatting>
  <x:pageMargins left="0.7" right="0.7" top="0.75" bottom="0.75" header="0.3" footer="0.3"/>
  <x:tableParts count="2">
    <x:tablePart xmlns:r="http://schemas.openxmlformats.org/officeDocument/2006/relationships" r:id="R84a2e199302d4400"/>
    <x:tablePart xmlns:r="http://schemas.openxmlformats.org/officeDocument/2006/relationships" r:id="R8d6e7064ca3a4043"/>
  </x:tableParts>
</x:worksheet>
</file>